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240" yWindow="225" windowWidth="14805" windowHeight="7890" activeTab="1"/>
  </bookViews>
  <sheets>
    <sheet name="Summary" sheetId="1" r:id="rId1"/>
    <sheet name="Performance" sheetId="4" r:id="rId2"/>
  </sheets>
  <functionGroups builtInGroupCount="17"/>
  <definedNames>
    <definedName name="AnalysisNames">Summary!$B$5</definedName>
    <definedName name="DataStartRow">Performance!$A$5</definedName>
    <definedName name="Features">Summary!$C$3</definedName>
    <definedName name="Filenames">Summary!$A$5</definedName>
    <definedName name="SummaryFeatures">OFFSET(Summary!$C$5,0,0,MAX( MATCH(9.99E+307,Summary!$A:$A), MATCH(REPT("z",255),Summary!$5:$5) ),1)</definedName>
    <definedName name="SummaryGrid">Summary!$C$5</definedName>
  </definedNames>
  <calcPr calcId="145621"/>
</workbook>
</file>

<file path=xl/calcChain.xml><?xml version="1.0" encoding="utf-8"?>
<calcChain xmlns="http://schemas.openxmlformats.org/spreadsheetml/2006/main">
  <c r="A6" i="4" l="1"/>
  <c r="B6" i="4" s="1"/>
  <c r="A5" i="4"/>
  <c r="B5" i="4" s="1"/>
  <c r="Q19" i="1"/>
  <c r="U15" i="1"/>
  <c r="P5" i="1"/>
  <c r="G12" i="1"/>
  <c r="Q15" i="1"/>
  <c r="C17" i="1"/>
  <c r="K13" i="1"/>
  <c r="U18" i="1"/>
  <c r="L18" i="1"/>
  <c r="L19" i="1"/>
  <c r="E5" i="1"/>
  <c r="F20" i="1"/>
  <c r="M20" i="1"/>
  <c r="T7" i="1"/>
  <c r="G10" i="1"/>
  <c r="L7" i="1"/>
  <c r="I10" i="1"/>
  <c r="H7" i="1"/>
  <c r="L10" i="1"/>
  <c r="Q14" i="1"/>
  <c r="T16" i="1"/>
  <c r="G19" i="1"/>
  <c r="R17" i="1"/>
  <c r="Q20" i="1"/>
  <c r="H16" i="1"/>
  <c r="L17" i="1"/>
  <c r="U9" i="1"/>
  <c r="F17" i="1"/>
  <c r="L12" i="1"/>
  <c r="K16" i="1"/>
  <c r="E17" i="1"/>
  <c r="D20" i="1"/>
  <c r="T11" i="1"/>
  <c r="O10" i="1"/>
  <c r="H8" i="1"/>
  <c r="U10" i="1"/>
  <c r="O16" i="1"/>
  <c r="C10" i="1"/>
  <c r="G11" i="1"/>
  <c r="M6" i="1"/>
  <c r="M11" i="1"/>
  <c r="T15" i="1"/>
  <c r="S16" i="1"/>
  <c r="H14" i="1"/>
  <c r="H15" i="1"/>
  <c r="K5" i="1"/>
  <c r="P12" i="1"/>
  <c r="P16" i="1"/>
  <c r="M15" i="1"/>
  <c r="T14" i="1"/>
  <c r="T5" i="1"/>
  <c r="U11" i="1"/>
  <c r="O12" i="1"/>
  <c r="E19" i="1"/>
  <c r="P14" i="1"/>
  <c r="T13" i="1"/>
  <c r="S6" i="1"/>
  <c r="L9" i="1"/>
  <c r="C5" i="1"/>
  <c r="O17" i="1"/>
  <c r="L14" i="1"/>
  <c r="E6" i="1"/>
  <c r="U19" i="1"/>
  <c r="N14" i="1"/>
  <c r="N16" i="1"/>
  <c r="C13" i="1"/>
  <c r="J12" i="1"/>
  <c r="H13" i="1"/>
  <c r="J15" i="1"/>
  <c r="J8" i="1"/>
  <c r="N6" i="1"/>
  <c r="J6" i="1"/>
  <c r="R16" i="1"/>
  <c r="D6" i="1"/>
  <c r="D19" i="1"/>
  <c r="S13" i="1"/>
  <c r="T17" i="1"/>
  <c r="N17" i="1"/>
  <c r="T19" i="1"/>
  <c r="O11" i="1"/>
  <c r="D5" i="1"/>
  <c r="E16" i="1"/>
  <c r="F11" i="1"/>
  <c r="F6" i="1"/>
  <c r="S10" i="1"/>
  <c r="G16" i="1"/>
  <c r="P20" i="1"/>
  <c r="D16" i="1"/>
  <c r="C7" i="1"/>
  <c r="D15" i="1"/>
  <c r="J13" i="1"/>
  <c r="J17" i="1"/>
  <c r="P8" i="1"/>
  <c r="U8" i="1"/>
  <c r="H11" i="1"/>
  <c r="N5" i="1"/>
  <c r="S20" i="1"/>
  <c r="D17" i="1"/>
  <c r="D12" i="1"/>
  <c r="O6" i="1"/>
  <c r="D7" i="1"/>
  <c r="K12" i="1"/>
  <c r="R8" i="1"/>
  <c r="Q8" i="1"/>
  <c r="F12" i="1"/>
  <c r="K7" i="1"/>
  <c r="N13" i="1"/>
  <c r="T12" i="1"/>
  <c r="G20" i="1"/>
  <c r="C6" i="1"/>
  <c r="L11" i="1"/>
  <c r="G9" i="1"/>
  <c r="H10" i="1"/>
  <c r="T18" i="1"/>
  <c r="E13" i="1"/>
  <c r="L15" i="1"/>
  <c r="F8" i="1"/>
  <c r="E7" i="1"/>
  <c r="R13" i="1"/>
  <c r="K19" i="1"/>
  <c r="H12" i="1"/>
  <c r="E9" i="1"/>
  <c r="T9" i="1"/>
  <c r="S12" i="1"/>
  <c r="N9" i="1"/>
  <c r="M19" i="1"/>
  <c r="K17" i="1"/>
  <c r="S18" i="1"/>
  <c r="G5" i="1"/>
  <c r="C15" i="1"/>
  <c r="I5" i="1"/>
  <c r="M10" i="1"/>
  <c r="C9" i="1"/>
  <c r="K9" i="1"/>
  <c r="N11" i="1"/>
  <c r="K18" i="1"/>
  <c r="G17" i="1"/>
  <c r="I8" i="1"/>
  <c r="N19" i="1"/>
  <c r="R10" i="1"/>
  <c r="T6" i="1"/>
  <c r="I18" i="1"/>
  <c r="L20" i="1"/>
  <c r="O15" i="1"/>
  <c r="P10" i="1"/>
  <c r="J19" i="1"/>
  <c r="O13" i="1"/>
  <c r="P7" i="1"/>
  <c r="Q5" i="1"/>
  <c r="S8" i="1"/>
  <c r="M8" i="1"/>
  <c r="F14" i="1"/>
  <c r="F5" i="1"/>
  <c r="U13" i="1"/>
  <c r="P11" i="1"/>
  <c r="O18" i="1"/>
  <c r="E12" i="1"/>
  <c r="F7" i="1"/>
  <c r="K11" i="1"/>
  <c r="P9" i="1"/>
  <c r="L13" i="1"/>
  <c r="U5" i="1"/>
  <c r="F13" i="1"/>
  <c r="L8" i="1"/>
  <c r="U20" i="1"/>
  <c r="F10" i="1"/>
  <c r="U14" i="1"/>
  <c r="I7" i="1"/>
  <c r="Q7" i="1"/>
  <c r="K20" i="1"/>
  <c r="N12" i="1"/>
  <c r="E11" i="1"/>
  <c r="S9" i="1"/>
  <c r="K15" i="1"/>
  <c r="R12" i="1"/>
  <c r="E14" i="1"/>
  <c r="G7" i="1"/>
  <c r="J14" i="1"/>
  <c r="D14" i="1"/>
  <c r="Q17" i="1"/>
  <c r="G15" i="1"/>
  <c r="C16" i="1"/>
  <c r="F9" i="1"/>
  <c r="R9" i="1"/>
  <c r="M7" i="1"/>
  <c r="U6" i="1"/>
  <c r="I19" i="1"/>
  <c r="N7" i="1"/>
  <c r="M9" i="1"/>
  <c r="G14" i="1"/>
  <c r="J7" i="1"/>
  <c r="H5" i="1"/>
  <c r="H9" i="1"/>
  <c r="Q10" i="1"/>
  <c r="C19" i="1"/>
  <c r="O19" i="1"/>
  <c r="U7" i="1"/>
  <c r="F18" i="1"/>
  <c r="O9" i="1"/>
  <c r="U16" i="1"/>
  <c r="R14" i="1"/>
  <c r="U17" i="1"/>
  <c r="E8" i="1"/>
  <c r="N8" i="1"/>
  <c r="M12" i="1"/>
  <c r="E15" i="1"/>
  <c r="R19" i="1"/>
  <c r="R18" i="1"/>
  <c r="P17" i="1"/>
  <c r="P15" i="1"/>
  <c r="I9" i="1"/>
  <c r="S5" i="1"/>
  <c r="S11" i="1"/>
  <c r="N20" i="1"/>
  <c r="S14" i="1"/>
  <c r="H20" i="1"/>
  <c r="N15" i="1"/>
  <c r="C14" i="1"/>
  <c r="K10" i="1"/>
  <c r="J9" i="1"/>
  <c r="D18" i="1"/>
  <c r="E18" i="1"/>
  <c r="R11" i="1"/>
  <c r="O8" i="1"/>
  <c r="G13" i="1"/>
  <c r="R6" i="1"/>
  <c r="N18" i="1"/>
  <c r="L6" i="1"/>
  <c r="R20" i="1"/>
  <c r="I14" i="1"/>
  <c r="Q16" i="1"/>
  <c r="N10" i="1"/>
  <c r="I11" i="1"/>
  <c r="Q11" i="1"/>
  <c r="I15" i="1"/>
  <c r="L5" i="1"/>
  <c r="U12" i="1"/>
  <c r="I17" i="1"/>
  <c r="J18" i="1"/>
  <c r="S19" i="1"/>
  <c r="Q18" i="1"/>
  <c r="H19" i="1"/>
  <c r="C12" i="1"/>
  <c r="H18" i="1"/>
  <c r="H17" i="1"/>
  <c r="K14" i="1"/>
  <c r="G18" i="1"/>
  <c r="I20" i="1"/>
  <c r="D9" i="1"/>
  <c r="E20" i="1"/>
  <c r="D8" i="1"/>
  <c r="M17" i="1"/>
  <c r="S15" i="1"/>
  <c r="S7" i="1"/>
  <c r="F19" i="1"/>
  <c r="C18" i="1"/>
  <c r="M18" i="1"/>
  <c r="L16" i="1"/>
  <c r="I16" i="1"/>
  <c r="P6" i="1"/>
  <c r="E10" i="1"/>
  <c r="G6" i="1"/>
  <c r="M5" i="1"/>
  <c r="J10" i="1"/>
  <c r="O14" i="1"/>
  <c r="D10" i="1"/>
  <c r="J5" i="1"/>
  <c r="S17" i="1"/>
  <c r="J20" i="1"/>
  <c r="R5" i="1"/>
  <c r="T10" i="1"/>
  <c r="J11" i="1"/>
  <c r="K8" i="1"/>
  <c r="P19" i="1"/>
  <c r="C20" i="1"/>
  <c r="P18" i="1"/>
  <c r="M13" i="1"/>
  <c r="J16" i="1"/>
  <c r="C8" i="1"/>
  <c r="P13" i="1"/>
  <c r="F16" i="1"/>
  <c r="M16" i="1"/>
  <c r="F15" i="1"/>
  <c r="O20" i="1"/>
  <c r="R7" i="1"/>
  <c r="G8" i="1"/>
  <c r="I12" i="1"/>
  <c r="D13" i="1"/>
  <c r="I6" i="1"/>
  <c r="M14" i="1"/>
  <c r="D11" i="1"/>
  <c r="Q12" i="1"/>
  <c r="Q6" i="1"/>
  <c r="C11" i="1"/>
  <c r="Q13" i="1"/>
  <c r="O7" i="1"/>
  <c r="H6" i="1"/>
  <c r="T20" i="1"/>
  <c r="I13" i="1"/>
  <c r="R15" i="1"/>
  <c r="K6" i="1"/>
  <c r="T8" i="1"/>
  <c r="O5" i="1"/>
  <c r="Q9" i="1"/>
  <c r="F3" i="4" l="1"/>
  <c r="G3" i="4" s="1"/>
  <c r="H3" i="4" s="1"/>
  <c r="I3" i="4" s="1"/>
  <c r="J3" i="4" s="1"/>
  <c r="K3" i="4" s="1"/>
  <c r="L3" i="4" s="1"/>
  <c r="O6" i="4"/>
  <c r="L5" i="4"/>
  <c r="N5" i="4"/>
  <c r="D6" i="4"/>
  <c r="O5" i="4"/>
  <c r="E5" i="4"/>
  <c r="I4" i="4"/>
  <c r="E4" i="4"/>
  <c r="L4" i="4"/>
  <c r="F5" i="4"/>
  <c r="AB5" i="4"/>
  <c r="N6" i="4"/>
  <c r="J4" i="4"/>
  <c r="K4" i="4"/>
  <c r="J5" i="4"/>
  <c r="AA5" i="4"/>
  <c r="H5" i="4"/>
  <c r="K5" i="4"/>
  <c r="G4" i="4"/>
  <c r="I5" i="4"/>
  <c r="G5" i="4"/>
  <c r="F4" i="4"/>
  <c r="C5" i="4" a="1"/>
  <c r="C5" i="4" l="1"/>
  <c r="AC4" i="4"/>
  <c r="H6" i="4"/>
  <c r="AA6" i="4"/>
  <c r="K6" i="4"/>
  <c r="F6" i="4"/>
  <c r="AB6" i="4"/>
  <c r="G6" i="4"/>
  <c r="J6" i="4"/>
  <c r="I6" i="4"/>
  <c r="H4" i="4"/>
  <c r="C6" i="4" a="1"/>
  <c r="D5" i="4"/>
  <c r="E6" i="4"/>
  <c r="L6" i="4"/>
  <c r="AC6" i="4"/>
  <c r="C6" i="4" l="1"/>
  <c r="AD4" i="4"/>
  <c r="AC5" i="4"/>
  <c r="AD6" i="4"/>
  <c r="AE4" i="4" l="1"/>
  <c r="AD5" i="4"/>
  <c r="AE6" i="4"/>
  <c r="AE5" i="4"/>
  <c r="AF4" i="4" l="1"/>
  <c r="AF6" i="4"/>
  <c r="AF5" i="4"/>
  <c r="AG4" i="4" l="1"/>
  <c r="AG6" i="4"/>
  <c r="AG5" i="4"/>
  <c r="AH4" i="4" l="1"/>
  <c r="AH6" i="4"/>
  <c r="AH5" i="4"/>
  <c r="AI4" i="4" l="1"/>
  <c r="AI6" i="4"/>
  <c r="AI5" i="4"/>
  <c r="AJ4" i="4" l="1"/>
  <c r="AJ6" i="4"/>
  <c r="AK4" i="4" l="1"/>
  <c r="AJ5" i="4"/>
  <c r="AK5" i="4"/>
  <c r="AL4" i="4" l="1"/>
  <c r="AK6" i="4"/>
  <c r="AL5" i="4"/>
  <c r="AM4" i="4" l="1"/>
  <c r="AL6" i="4"/>
  <c r="AM6" i="4"/>
  <c r="AM5" i="4"/>
  <c r="AN4" i="4" l="1"/>
  <c r="AN5" i="4"/>
  <c r="AO4" i="4" l="1"/>
  <c r="AN6" i="4"/>
  <c r="AO6" i="4"/>
  <c r="AP4" i="4" l="1"/>
  <c r="AO5" i="4"/>
  <c r="AP6" i="4"/>
  <c r="AQ4" i="4" l="1"/>
  <c r="AP5" i="4"/>
  <c r="AQ6" i="4"/>
  <c r="AR4" i="4" l="1"/>
  <c r="AQ5" i="4"/>
  <c r="AR6" i="4"/>
  <c r="AS4" i="4" l="1"/>
  <c r="AS6" i="4"/>
  <c r="AR5" i="4"/>
  <c r="AT4" i="4" l="1"/>
  <c r="AS5" i="4"/>
  <c r="AT5" i="4"/>
  <c r="AU4" i="4" l="1"/>
  <c r="AT6" i="4"/>
  <c r="AU6" i="4"/>
  <c r="AV4" i="4" l="1"/>
  <c r="AV6" i="4"/>
  <c r="AV5" i="4"/>
  <c r="AU5" i="4"/>
</calcChain>
</file>

<file path=xl/sharedStrings.xml><?xml version="1.0" encoding="utf-8"?>
<sst xmlns="http://schemas.openxmlformats.org/spreadsheetml/2006/main" count="36" uniqueCount="33">
  <si>
    <t>FELT TOOL SUMMATION</t>
  </si>
  <si>
    <t>Feature A B C D E F G H I</t>
  </si>
  <si>
    <t>Analysis Name</t>
  </si>
  <si>
    <t>ROC</t>
  </si>
  <si>
    <t>A</t>
  </si>
  <si>
    <t>Memory</t>
  </si>
  <si>
    <t>Features</t>
  </si>
  <si>
    <t>File</t>
  </si>
  <si>
    <t>Template.xlsx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</si>
  <si>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</si>
  <si>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</si>
  <si>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</si>
  <si>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</si>
  <si>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</si>
  <si>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</si>
  <si>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</si>
  <si>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</si>
  <si>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</si>
  <si>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</si>
  <si>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</si>
  <si>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</si>
  <si>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</si>
  <si>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</si>
  <si>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</si>
  <si>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</si>
  <si>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</si>
  <si>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</si>
  <si>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Basic Grouped1</t>
  </si>
  <si>
    <t>Basic Grouped2</t>
  </si>
  <si>
    <t>Time Taken</t>
  </si>
  <si>
    <t>Count</t>
  </si>
  <si>
    <t>=IF(ISNUMBER(MATCH(C$3,INDIRECT("'["&amp;$A15&amp;"]Log'!"&amp;CELL("address",$C$12)&amp;":"&amp;CELL("address",$ZZ$12)),0)),1,"")</t>
  </si>
  <si>
    <t>D:\Work\Sensors\AudioAnalysis\FELT\FeltRunner\Template.xlsx'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</si>
</sst>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64" formatCode="_-* #,##0_-;\-* #,##0_-;_-* &quot;-&quot;??_-;_-@_-"/>
  </numFmts>
  <fonts count="7" x14ac:knownFonts="1"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u/>
      <sz val="11"/>
      <color theme="10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/>
      <top style="thin">
        <color indexed="64"/>
      </top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textRotation="59"/>
    </xf>
    <xf numFmtId="0" fontId="0" fillId="0" borderId="1" xfId="0" applyBorder="1" applyAlignment="1">
      <alignment textRotation="59"/>
    </xf>
    <xf numFmtId="0" fontId="0" fillId="0" borderId="1" xfId="0" applyBorder="1" applyAlignment="1"/>
    <xf numFmtId="0" fontId="0" fillId="0" borderId="0" xfId="0" applyBorder="1" applyAlignment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0" borderId="0" xfId="0" applyAlignment="1"/>
    <xf numFmtId="0" fontId="0" fillId="0" borderId="0" xfId="0" applyAlignment="1">
      <alignment horizontal="right"/>
    </xf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textRotation="59"/>
    </xf>
    <xf numFmtId="0" fontId="3" fillId="0" borderId="0" xfId="0" applyFont="1"/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wrapText="1"/>
    </xf>
    <xf numFmtId="0" fontId="4" fillId="0" borderId="0" xfId="2" applyBorder="1" applyAlignment="1">
      <alignment vertical="center" wrapText="1"/>
    </xf>
    <xf numFmtId="164" fontId="0" fillId="0" borderId="0" xfId="1" applyNumberFormat="1" applyFont="1"/>
    <xf numFmtId="0" fontId="0" fillId="0" borderId="0" xfId="0" applyBorder="1"/>
    <xf numFmtId="2" fontId="0" fillId="0" borderId="0" xfId="0" applyNumberFormat="1"/>
    <xf numFmtId="0" fontId="5" fillId="0" borderId="0" xfId="0" applyFont="1"/>
    <xf numFmtId="0" fontId="5" fillId="0" borderId="0" xfId="0" applyFont="1" applyAlignment="1">
      <alignment wrapText="1"/>
    </xf>
    <xf numFmtId="164" fontId="5" fillId="0" borderId="0" xfId="1" applyNumberFormat="1" applyFont="1"/>
    <xf numFmtId="164" fontId="0" fillId="0" borderId="2" xfId="1" applyNumberFormat="1" applyFont="1" applyBorder="1" applyAlignment="1">
      <alignment textRotation="59"/>
    </xf>
    <xf numFmtId="0" fontId="0" fillId="0" borderId="1" xfId="0" applyBorder="1"/>
    <xf numFmtId="0" fontId="0" fillId="0" borderId="0" xfId="0" quotePrefix="1"/>
    <xf numFmtId="0" fontId="6" fillId="0" borderId="3" xfId="0" applyFont="1" applyBorder="1" applyAlignment="1"/>
    <xf numFmtId="0" fontId="6" fillId="0" borderId="3" xfId="0" applyFont="1" applyBorder="1" applyAlignment="1">
      <alignment wrapText="1"/>
    </xf>
    <xf numFmtId="0" fontId="6" fillId="0" borderId="4" xfId="0" applyFont="1" applyBorder="1" applyAlignment="1"/>
    <xf numFmtId="0" fontId="0" fillId="2" borderId="5" xfId="0" applyFont="1" applyFill="1" applyBorder="1"/>
    <xf numFmtId="0" fontId="0" fillId="2" borderId="5" xfId="0" applyFont="1" applyFill="1" applyBorder="1" applyAlignment="1">
      <alignment wrapText="1"/>
    </xf>
    <xf numFmtId="0" fontId="0" fillId="2" borderId="6" xfId="0" applyFont="1" applyFill="1" applyBorder="1" applyAlignment="1">
      <alignment horizontal="right"/>
    </xf>
    <xf numFmtId="0" fontId="0" fillId="0" borderId="7" xfId="0" applyFont="1" applyBorder="1"/>
    <xf numFmtId="0" fontId="0" fillId="0" borderId="7" xfId="0" applyFont="1" applyBorder="1" applyAlignment="1">
      <alignment wrapText="1"/>
    </xf>
    <xf numFmtId="0" fontId="0" fillId="2" borderId="7" xfId="0" applyFont="1" applyFill="1" applyBorder="1"/>
    <xf numFmtId="0" fontId="0" fillId="2" borderId="7" xfId="0" applyFont="1" applyFill="1" applyBorder="1" applyAlignment="1">
      <alignment wrapText="1"/>
    </xf>
    <xf numFmtId="0" fontId="0" fillId="0" borderId="8" xfId="0" applyFont="1" applyBorder="1"/>
    <xf numFmtId="0" fontId="0" fillId="0" borderId="8" xfId="0" applyFont="1" applyBorder="1" applyAlignment="1">
      <alignment wrapText="1"/>
    </xf>
    <xf numFmtId="0" fontId="0" fillId="0" borderId="7" xfId="0" quotePrefix="1" applyFont="1" applyBorder="1"/>
    <xf numFmtId="0" fontId="1" fillId="0" borderId="0" xfId="0" applyFont="1" applyBorder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1000"/>
  <sheetViews>
    <sheetView workbookViewId="0">
      <selection activeCell="C6" sqref="C6"/>
    </sheetView>
  </sheetViews>
  <sheetFormatPr defaultRowHeight="15" x14ac:dyDescent="0.25"/>
  <cols>
    <col min="1" max="1" width="27.85546875" customWidth="1"/>
    <col min="2" max="2" width="25.5703125" style="5" customWidth="1"/>
    <col min="3" max="14" width="4.7109375" customWidth="1"/>
    <col min="15" max="15" width="5" customWidth="1"/>
    <col min="16" max="21" width="4.7109375" customWidth="1"/>
  </cols>
  <sheetData>
    <row r="1" spans="1:24" ht="46.5" x14ac:dyDescent="0.7">
      <c r="B1" s="37" t="s">
        <v>0</v>
      </c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</row>
    <row r="2" spans="1:24" x14ac:dyDescent="0.25">
      <c r="V2" s="23" t="s">
        <v>31</v>
      </c>
    </row>
    <row r="3" spans="1:24" s="1" customFormat="1" ht="105" x14ac:dyDescent="0.25">
      <c r="A3" s="2"/>
      <c r="B3" s="2"/>
      <c r="C3" s="2" t="s">
        <v>1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10"/>
      <c r="W3" s="10"/>
      <c r="X3" s="10"/>
    </row>
    <row r="4" spans="1:24" s="7" customFormat="1" ht="15.75" thickBot="1" x14ac:dyDescent="0.3">
      <c r="A4" s="24" t="s">
        <v>7</v>
      </c>
      <c r="B4" s="25" t="s">
        <v>2</v>
      </c>
      <c r="C4" s="24" t="s">
        <v>4</v>
      </c>
      <c r="D4" s="24" t="s">
        <v>9</v>
      </c>
      <c r="E4" s="24" t="s">
        <v>10</v>
      </c>
      <c r="F4" s="24" t="s">
        <v>11</v>
      </c>
      <c r="G4" s="24" t="s">
        <v>12</v>
      </c>
      <c r="H4" s="24" t="s">
        <v>13</v>
      </c>
      <c r="I4" s="24" t="s">
        <v>14</v>
      </c>
      <c r="J4" s="24" t="s">
        <v>15</v>
      </c>
      <c r="K4" s="24" t="s">
        <v>16</v>
      </c>
      <c r="L4" s="24" t="s">
        <v>17</v>
      </c>
      <c r="M4" s="24" t="s">
        <v>18</v>
      </c>
      <c r="N4" s="24" t="s">
        <v>19</v>
      </c>
      <c r="O4" s="24" t="s">
        <v>20</v>
      </c>
      <c r="P4" s="24" t="s">
        <v>21</v>
      </c>
      <c r="Q4" s="24" t="s">
        <v>22</v>
      </c>
      <c r="R4" s="24" t="s">
        <v>23</v>
      </c>
      <c r="S4" s="24" t="s">
        <v>24</v>
      </c>
      <c r="T4" s="24" t="s">
        <v>25</v>
      </c>
      <c r="U4" s="26" t="s">
        <v>26</v>
      </c>
      <c r="V4" s="4"/>
      <c r="W4" s="4"/>
      <c r="X4" s="4"/>
    </row>
    <row r="5" spans="1:24" x14ac:dyDescent="0.25">
      <c r="A5" s="27" t="s">
        <v>8</v>
      </c>
      <c r="B5" s="28" t="s">
        <v>27</v>
      </c>
      <c r="C5" s="29" t="str">
        <f ca="1">IF(ISNUMBER(MATCH(C$3,INDIRECT("'["&amp;$A5&amp;"]Log'!$C$12:$ZZ$12"),0)),1,"")</f>
        <v/>
      </c>
      <c r="D5" s="29" t="str">
        <f t="shared" ref="C5:R20" ca="1" si="0">IF(ISNUMBER(MATCH(D$3,INDIRECT("'["&amp;$A5&amp;"]Log'!$C$12:$ZZ$12"),0)),1,"")</f>
        <v/>
      </c>
      <c r="E5" s="29" t="str">
        <f t="shared" ca="1" si="0"/>
        <v/>
      </c>
      <c r="F5" s="29" t="str">
        <f t="shared" ca="1" si="0"/>
        <v/>
      </c>
      <c r="G5" s="29" t="str">
        <f t="shared" ca="1" si="0"/>
        <v/>
      </c>
      <c r="H5" s="29" t="str">
        <f t="shared" ca="1" si="0"/>
        <v/>
      </c>
      <c r="I5" s="29" t="str">
        <f t="shared" ca="1" si="0"/>
        <v/>
      </c>
      <c r="J5" s="29" t="str">
        <f t="shared" ca="1" si="0"/>
        <v/>
      </c>
      <c r="K5" s="29" t="str">
        <f t="shared" ca="1" si="0"/>
        <v/>
      </c>
      <c r="L5" s="29" t="str">
        <f t="shared" ca="1" si="0"/>
        <v/>
      </c>
      <c r="M5" s="29" t="str">
        <f t="shared" ca="1" si="0"/>
        <v/>
      </c>
      <c r="N5" s="29" t="str">
        <f t="shared" ca="1" si="0"/>
        <v/>
      </c>
      <c r="O5" s="29" t="str">
        <f t="shared" ca="1" si="0"/>
        <v/>
      </c>
      <c r="P5" s="29" t="str">
        <f t="shared" ca="1" si="0"/>
        <v/>
      </c>
      <c r="Q5" s="29" t="str">
        <f t="shared" ca="1" si="0"/>
        <v/>
      </c>
      <c r="R5" s="29" t="str">
        <f t="shared" ca="1" si="0"/>
        <v/>
      </c>
      <c r="S5" s="29" t="str">
        <f t="shared" ref="D5:U19" ca="1" si="1">IF(ISNUMBER(MATCH(S$3,INDIRECT("'["&amp;$A5&amp;"]Log'!$C$12:$ZZ$12"),0)),1,"")</f>
        <v/>
      </c>
      <c r="T5" s="29" t="str">
        <f t="shared" ca="1" si="1"/>
        <v/>
      </c>
      <c r="U5" s="29" t="str">
        <f t="shared" ca="1" si="1"/>
        <v/>
      </c>
    </row>
    <row r="6" spans="1:24" x14ac:dyDescent="0.25">
      <c r="A6" s="36" t="s">
        <v>32</v>
      </c>
      <c r="B6" s="31" t="s">
        <v>28</v>
      </c>
      <c r="C6" s="29" t="str">
        <f ca="1">IF(ISNUMBER(MATCH(C$3,PULL("'["&amp;$A6&amp;"]Log'!$C$12:$ZZ$12"),0)),1,"")</f>
        <v/>
      </c>
      <c r="D6" s="29" t="str">
        <f t="shared" ca="1" si="1"/>
        <v/>
      </c>
      <c r="E6" s="29" t="str">
        <f t="shared" ca="1" si="1"/>
        <v/>
      </c>
      <c r="F6" s="29" t="str">
        <f t="shared" ca="1" si="1"/>
        <v/>
      </c>
      <c r="G6" s="29" t="str">
        <f t="shared" ca="1" si="1"/>
        <v/>
      </c>
      <c r="H6" s="29" t="str">
        <f t="shared" ca="1" si="1"/>
        <v/>
      </c>
      <c r="I6" s="29" t="str">
        <f t="shared" ca="1" si="1"/>
        <v/>
      </c>
      <c r="J6" s="29" t="str">
        <f t="shared" ca="1" si="1"/>
        <v/>
      </c>
      <c r="K6" s="29" t="str">
        <f t="shared" ca="1" si="1"/>
        <v/>
      </c>
      <c r="L6" s="29" t="str">
        <f t="shared" ca="1" si="1"/>
        <v/>
      </c>
      <c r="M6" s="29" t="str">
        <f t="shared" ca="1" si="1"/>
        <v/>
      </c>
      <c r="N6" s="29" t="str">
        <f t="shared" ca="1" si="1"/>
        <v/>
      </c>
      <c r="O6" s="29" t="str">
        <f t="shared" ca="1" si="1"/>
        <v/>
      </c>
      <c r="P6" s="29" t="str">
        <f t="shared" ca="1" si="1"/>
        <v/>
      </c>
      <c r="Q6" s="29" t="str">
        <f t="shared" ca="1" si="1"/>
        <v/>
      </c>
      <c r="R6" s="29" t="str">
        <f t="shared" ca="1" si="1"/>
        <v/>
      </c>
      <c r="S6" s="29" t="str">
        <f t="shared" ca="1" si="1"/>
        <v/>
      </c>
      <c r="T6" s="29" t="str">
        <f t="shared" ca="1" si="1"/>
        <v/>
      </c>
      <c r="U6" s="29" t="str">
        <f t="shared" ca="1" si="1"/>
        <v/>
      </c>
    </row>
    <row r="7" spans="1:24" x14ac:dyDescent="0.25">
      <c r="A7" s="32"/>
      <c r="B7" s="33"/>
      <c r="C7" s="29" t="str">
        <f t="shared" ca="1" si="0"/>
        <v/>
      </c>
      <c r="D7" s="29" t="str">
        <f t="shared" ca="1" si="1"/>
        <v/>
      </c>
      <c r="E7" s="29" t="str">
        <f t="shared" ca="1" si="1"/>
        <v/>
      </c>
      <c r="F7" s="29" t="str">
        <f t="shared" ca="1" si="1"/>
        <v/>
      </c>
      <c r="G7" s="29" t="str">
        <f t="shared" ca="1" si="1"/>
        <v/>
      </c>
      <c r="H7" s="29" t="str">
        <f t="shared" ca="1" si="1"/>
        <v/>
      </c>
      <c r="I7" s="29" t="str">
        <f t="shared" ca="1" si="1"/>
        <v/>
      </c>
      <c r="J7" s="29" t="str">
        <f t="shared" ca="1" si="1"/>
        <v/>
      </c>
      <c r="K7" s="29" t="str">
        <f t="shared" ca="1" si="1"/>
        <v/>
      </c>
      <c r="L7" s="29" t="str">
        <f t="shared" ca="1" si="1"/>
        <v/>
      </c>
      <c r="M7" s="29" t="str">
        <f t="shared" ca="1" si="1"/>
        <v/>
      </c>
      <c r="N7" s="29" t="str">
        <f t="shared" ca="1" si="1"/>
        <v/>
      </c>
      <c r="O7" s="29" t="str">
        <f t="shared" ca="1" si="1"/>
        <v/>
      </c>
      <c r="P7" s="29" t="str">
        <f t="shared" ca="1" si="1"/>
        <v/>
      </c>
      <c r="Q7" s="29" t="str">
        <f t="shared" ca="1" si="1"/>
        <v/>
      </c>
      <c r="R7" s="29" t="str">
        <f t="shared" ca="1" si="1"/>
        <v/>
      </c>
      <c r="S7" s="29" t="str">
        <f t="shared" ca="1" si="1"/>
        <v/>
      </c>
      <c r="T7" s="29" t="str">
        <f t="shared" ca="1" si="1"/>
        <v/>
      </c>
      <c r="U7" s="29" t="str">
        <f t="shared" ca="1" si="1"/>
        <v/>
      </c>
    </row>
    <row r="8" spans="1:24" x14ac:dyDescent="0.25">
      <c r="A8" s="30"/>
      <c r="B8" s="31"/>
      <c r="C8" s="29" t="str">
        <f t="shared" ca="1" si="0"/>
        <v/>
      </c>
      <c r="D8" s="29" t="str">
        <f t="shared" ca="1" si="1"/>
        <v/>
      </c>
      <c r="E8" s="29" t="str">
        <f t="shared" ca="1" si="1"/>
        <v/>
      </c>
      <c r="F8" s="29" t="str">
        <f t="shared" ca="1" si="1"/>
        <v/>
      </c>
      <c r="G8" s="29" t="str">
        <f t="shared" ca="1" si="1"/>
        <v/>
      </c>
      <c r="H8" s="29" t="str">
        <f t="shared" ca="1" si="1"/>
        <v/>
      </c>
      <c r="I8" s="29" t="str">
        <f t="shared" ca="1" si="1"/>
        <v/>
      </c>
      <c r="J8" s="29" t="str">
        <f t="shared" ca="1" si="1"/>
        <v/>
      </c>
      <c r="K8" s="29" t="str">
        <f t="shared" ca="1" si="1"/>
        <v/>
      </c>
      <c r="L8" s="29" t="str">
        <f t="shared" ca="1" si="1"/>
        <v/>
      </c>
      <c r="M8" s="29" t="str">
        <f t="shared" ca="1" si="1"/>
        <v/>
      </c>
      <c r="N8" s="29" t="str">
        <f t="shared" ca="1" si="1"/>
        <v/>
      </c>
      <c r="O8" s="29" t="str">
        <f t="shared" ca="1" si="1"/>
        <v/>
      </c>
      <c r="P8" s="29" t="str">
        <f t="shared" ca="1" si="1"/>
        <v/>
      </c>
      <c r="Q8" s="29" t="str">
        <f t="shared" ca="1" si="1"/>
        <v/>
      </c>
      <c r="R8" s="29" t="str">
        <f t="shared" ca="1" si="1"/>
        <v/>
      </c>
      <c r="S8" s="29" t="str">
        <f t="shared" ca="1" si="1"/>
        <v/>
      </c>
      <c r="T8" s="29" t="str">
        <f t="shared" ca="1" si="1"/>
        <v/>
      </c>
      <c r="U8" s="29" t="str">
        <f t="shared" ca="1" si="1"/>
        <v/>
      </c>
    </row>
    <row r="9" spans="1:24" x14ac:dyDescent="0.25">
      <c r="A9" s="32"/>
      <c r="B9" s="33"/>
      <c r="C9" s="29" t="str">
        <f t="shared" ca="1" si="0"/>
        <v/>
      </c>
      <c r="D9" s="29" t="str">
        <f t="shared" ca="1" si="1"/>
        <v/>
      </c>
      <c r="E9" s="29" t="str">
        <f t="shared" ca="1" si="1"/>
        <v/>
      </c>
      <c r="F9" s="29" t="str">
        <f t="shared" ca="1" si="1"/>
        <v/>
      </c>
      <c r="G9" s="29" t="str">
        <f t="shared" ca="1" si="1"/>
        <v/>
      </c>
      <c r="H9" s="29" t="str">
        <f t="shared" ca="1" si="1"/>
        <v/>
      </c>
      <c r="I9" s="29" t="str">
        <f t="shared" ca="1" si="1"/>
        <v/>
      </c>
      <c r="J9" s="29" t="str">
        <f t="shared" ca="1" si="1"/>
        <v/>
      </c>
      <c r="K9" s="29" t="str">
        <f t="shared" ca="1" si="1"/>
        <v/>
      </c>
      <c r="L9" s="29" t="str">
        <f t="shared" ca="1" si="1"/>
        <v/>
      </c>
      <c r="M9" s="29" t="str">
        <f t="shared" ca="1" si="1"/>
        <v/>
      </c>
      <c r="N9" s="29" t="str">
        <f t="shared" ca="1" si="1"/>
        <v/>
      </c>
      <c r="O9" s="29" t="str">
        <f t="shared" ca="1" si="1"/>
        <v/>
      </c>
      <c r="P9" s="29" t="str">
        <f t="shared" ca="1" si="1"/>
        <v/>
      </c>
      <c r="Q9" s="29" t="str">
        <f t="shared" ca="1" si="1"/>
        <v/>
      </c>
      <c r="R9" s="29" t="str">
        <f t="shared" ca="1" si="1"/>
        <v/>
      </c>
      <c r="S9" s="29" t="str">
        <f t="shared" ca="1" si="1"/>
        <v/>
      </c>
      <c r="T9" s="29" t="str">
        <f t="shared" ca="1" si="1"/>
        <v/>
      </c>
      <c r="U9" s="29" t="str">
        <f t="shared" ca="1" si="1"/>
        <v/>
      </c>
    </row>
    <row r="10" spans="1:24" x14ac:dyDescent="0.25">
      <c r="A10" s="30"/>
      <c r="B10" s="31"/>
      <c r="C10" s="29" t="str">
        <f t="shared" ca="1" si="0"/>
        <v/>
      </c>
      <c r="D10" s="29" t="str">
        <f t="shared" ca="1" si="1"/>
        <v/>
      </c>
      <c r="E10" s="29" t="str">
        <f t="shared" ca="1" si="1"/>
        <v/>
      </c>
      <c r="F10" s="29" t="str">
        <f t="shared" ca="1" si="1"/>
        <v/>
      </c>
      <c r="G10" s="29" t="str">
        <f t="shared" ca="1" si="1"/>
        <v/>
      </c>
      <c r="H10" s="29" t="str">
        <f t="shared" ca="1" si="1"/>
        <v/>
      </c>
      <c r="I10" s="29" t="str">
        <f t="shared" ca="1" si="1"/>
        <v/>
      </c>
      <c r="J10" s="29" t="str">
        <f t="shared" ca="1" si="1"/>
        <v/>
      </c>
      <c r="K10" s="29" t="str">
        <f t="shared" ca="1" si="1"/>
        <v/>
      </c>
      <c r="L10" s="29" t="str">
        <f t="shared" ca="1" si="1"/>
        <v/>
      </c>
      <c r="M10" s="29" t="str">
        <f t="shared" ca="1" si="1"/>
        <v/>
      </c>
      <c r="N10" s="29" t="str">
        <f t="shared" ca="1" si="1"/>
        <v/>
      </c>
      <c r="O10" s="29" t="str">
        <f t="shared" ca="1" si="1"/>
        <v/>
      </c>
      <c r="P10" s="29" t="str">
        <f t="shared" ca="1" si="1"/>
        <v/>
      </c>
      <c r="Q10" s="29" t="str">
        <f t="shared" ca="1" si="1"/>
        <v/>
      </c>
      <c r="R10" s="29" t="str">
        <f t="shared" ca="1" si="1"/>
        <v/>
      </c>
      <c r="S10" s="29" t="str">
        <f t="shared" ca="1" si="1"/>
        <v/>
      </c>
      <c r="T10" s="29" t="str">
        <f t="shared" ca="1" si="1"/>
        <v/>
      </c>
      <c r="U10" s="29" t="str">
        <f t="shared" ca="1" si="1"/>
        <v/>
      </c>
    </row>
    <row r="11" spans="1:24" x14ac:dyDescent="0.25">
      <c r="A11" s="32"/>
      <c r="B11" s="33"/>
      <c r="C11" s="29" t="str">
        <f t="shared" ca="1" si="0"/>
        <v/>
      </c>
      <c r="D11" s="29" t="str">
        <f t="shared" ca="1" si="1"/>
        <v/>
      </c>
      <c r="E11" s="29" t="str">
        <f t="shared" ca="1" si="1"/>
        <v/>
      </c>
      <c r="F11" s="29" t="str">
        <f t="shared" ca="1" si="1"/>
        <v/>
      </c>
      <c r="G11" s="29" t="str">
        <f t="shared" ca="1" si="1"/>
        <v/>
      </c>
      <c r="H11" s="29" t="str">
        <f t="shared" ca="1" si="1"/>
        <v/>
      </c>
      <c r="I11" s="29" t="str">
        <f t="shared" ca="1" si="1"/>
        <v/>
      </c>
      <c r="J11" s="29" t="str">
        <f t="shared" ca="1" si="1"/>
        <v/>
      </c>
      <c r="K11" s="29" t="str">
        <f t="shared" ca="1" si="1"/>
        <v/>
      </c>
      <c r="L11" s="29" t="str">
        <f t="shared" ca="1" si="1"/>
        <v/>
      </c>
      <c r="M11" s="29" t="str">
        <f t="shared" ca="1" si="1"/>
        <v/>
      </c>
      <c r="N11" s="29" t="str">
        <f t="shared" ca="1" si="1"/>
        <v/>
      </c>
      <c r="O11" s="29" t="str">
        <f t="shared" ca="1" si="1"/>
        <v/>
      </c>
      <c r="P11" s="29" t="str">
        <f t="shared" ca="1" si="1"/>
        <v/>
      </c>
      <c r="Q11" s="29" t="str">
        <f t="shared" ca="1" si="1"/>
        <v/>
      </c>
      <c r="R11" s="29" t="str">
        <f t="shared" ca="1" si="1"/>
        <v/>
      </c>
      <c r="S11" s="29" t="str">
        <f t="shared" ca="1" si="1"/>
        <v/>
      </c>
      <c r="T11" s="29" t="str">
        <f t="shared" ca="1" si="1"/>
        <v/>
      </c>
      <c r="U11" s="29" t="str">
        <f t="shared" ca="1" si="1"/>
        <v/>
      </c>
    </row>
    <row r="12" spans="1:24" x14ac:dyDescent="0.25">
      <c r="A12" s="30"/>
      <c r="B12" s="31"/>
      <c r="C12" s="29" t="str">
        <f t="shared" ca="1" si="0"/>
        <v/>
      </c>
      <c r="D12" s="29" t="str">
        <f t="shared" ca="1" si="1"/>
        <v/>
      </c>
      <c r="E12" s="29" t="str">
        <f t="shared" ca="1" si="1"/>
        <v/>
      </c>
      <c r="F12" s="29" t="str">
        <f t="shared" ca="1" si="1"/>
        <v/>
      </c>
      <c r="G12" s="29" t="str">
        <f t="shared" ca="1" si="1"/>
        <v/>
      </c>
      <c r="H12" s="29" t="str">
        <f t="shared" ca="1" si="1"/>
        <v/>
      </c>
      <c r="I12" s="29" t="str">
        <f t="shared" ca="1" si="1"/>
        <v/>
      </c>
      <c r="J12" s="29" t="str">
        <f t="shared" ca="1" si="1"/>
        <v/>
      </c>
      <c r="K12" s="29" t="str">
        <f t="shared" ca="1" si="1"/>
        <v/>
      </c>
      <c r="L12" s="29" t="str">
        <f t="shared" ca="1" si="1"/>
        <v/>
      </c>
      <c r="M12" s="29" t="str">
        <f t="shared" ca="1" si="1"/>
        <v/>
      </c>
      <c r="N12" s="29" t="str">
        <f t="shared" ca="1" si="1"/>
        <v/>
      </c>
      <c r="O12" s="29" t="str">
        <f t="shared" ca="1" si="1"/>
        <v/>
      </c>
      <c r="P12" s="29" t="str">
        <f t="shared" ca="1" si="1"/>
        <v/>
      </c>
      <c r="Q12" s="29" t="str">
        <f t="shared" ca="1" si="1"/>
        <v/>
      </c>
      <c r="R12" s="29" t="str">
        <f t="shared" ca="1" si="1"/>
        <v/>
      </c>
      <c r="S12" s="29" t="str">
        <f t="shared" ca="1" si="1"/>
        <v/>
      </c>
      <c r="T12" s="29" t="str">
        <f t="shared" ca="1" si="1"/>
        <v/>
      </c>
      <c r="U12" s="29" t="str">
        <f t="shared" ca="1" si="1"/>
        <v/>
      </c>
    </row>
    <row r="13" spans="1:24" x14ac:dyDescent="0.25">
      <c r="A13" s="32"/>
      <c r="B13" s="33"/>
      <c r="C13" s="29" t="str">
        <f t="shared" ca="1" si="0"/>
        <v/>
      </c>
      <c r="D13" s="29" t="str">
        <f t="shared" ca="1" si="1"/>
        <v/>
      </c>
      <c r="E13" s="29" t="str">
        <f t="shared" ca="1" si="1"/>
        <v/>
      </c>
      <c r="F13" s="29" t="str">
        <f t="shared" ca="1" si="1"/>
        <v/>
      </c>
      <c r="G13" s="29" t="str">
        <f t="shared" ca="1" si="1"/>
        <v/>
      </c>
      <c r="H13" s="29" t="str">
        <f t="shared" ca="1" si="1"/>
        <v/>
      </c>
      <c r="I13" s="29" t="str">
        <f t="shared" ca="1" si="1"/>
        <v/>
      </c>
      <c r="J13" s="29" t="str">
        <f t="shared" ca="1" si="1"/>
        <v/>
      </c>
      <c r="K13" s="29" t="str">
        <f t="shared" ca="1" si="1"/>
        <v/>
      </c>
      <c r="L13" s="29" t="str">
        <f t="shared" ca="1" si="1"/>
        <v/>
      </c>
      <c r="M13" s="29" t="str">
        <f t="shared" ca="1" si="1"/>
        <v/>
      </c>
      <c r="N13" s="29" t="str">
        <f t="shared" ca="1" si="1"/>
        <v/>
      </c>
      <c r="O13" s="29" t="str">
        <f t="shared" ca="1" si="1"/>
        <v/>
      </c>
      <c r="P13" s="29" t="str">
        <f t="shared" ca="1" si="1"/>
        <v/>
      </c>
      <c r="Q13" s="29" t="str">
        <f t="shared" ca="1" si="1"/>
        <v/>
      </c>
      <c r="R13" s="29" t="str">
        <f t="shared" ca="1" si="1"/>
        <v/>
      </c>
      <c r="S13" s="29" t="str">
        <f t="shared" ca="1" si="1"/>
        <v/>
      </c>
      <c r="T13" s="29" t="str">
        <f t="shared" ca="1" si="1"/>
        <v/>
      </c>
      <c r="U13" s="29" t="str">
        <f t="shared" ca="1" si="1"/>
        <v/>
      </c>
    </row>
    <row r="14" spans="1:24" x14ac:dyDescent="0.25">
      <c r="A14" s="30"/>
      <c r="B14" s="31"/>
      <c r="C14" s="29" t="str">
        <f t="shared" ca="1" si="0"/>
        <v/>
      </c>
      <c r="D14" s="29" t="str">
        <f t="shared" ca="1" si="1"/>
        <v/>
      </c>
      <c r="E14" s="29" t="str">
        <f t="shared" ca="1" si="1"/>
        <v/>
      </c>
      <c r="F14" s="29" t="str">
        <f t="shared" ca="1" si="1"/>
        <v/>
      </c>
      <c r="G14" s="29" t="str">
        <f t="shared" ca="1" si="1"/>
        <v/>
      </c>
      <c r="H14" s="29" t="str">
        <f t="shared" ca="1" si="1"/>
        <v/>
      </c>
      <c r="I14" s="29" t="str">
        <f t="shared" ca="1" si="1"/>
        <v/>
      </c>
      <c r="J14" s="29" t="str">
        <f t="shared" ca="1" si="1"/>
        <v/>
      </c>
      <c r="K14" s="29" t="str">
        <f t="shared" ca="1" si="1"/>
        <v/>
      </c>
      <c r="L14" s="29" t="str">
        <f t="shared" ca="1" si="1"/>
        <v/>
      </c>
      <c r="M14" s="29" t="str">
        <f t="shared" ca="1" si="1"/>
        <v/>
      </c>
      <c r="N14" s="29" t="str">
        <f t="shared" ca="1" si="1"/>
        <v/>
      </c>
      <c r="O14" s="29" t="str">
        <f t="shared" ca="1" si="1"/>
        <v/>
      </c>
      <c r="P14" s="29" t="str">
        <f t="shared" ca="1" si="1"/>
        <v/>
      </c>
      <c r="Q14" s="29" t="str">
        <f t="shared" ca="1" si="1"/>
        <v/>
      </c>
      <c r="R14" s="29" t="str">
        <f t="shared" ca="1" si="1"/>
        <v/>
      </c>
      <c r="S14" s="29" t="str">
        <f t="shared" ca="1" si="1"/>
        <v/>
      </c>
      <c r="T14" s="29" t="str">
        <f t="shared" ca="1" si="1"/>
        <v/>
      </c>
      <c r="U14" s="29" t="str">
        <f t="shared" ca="1" si="1"/>
        <v/>
      </c>
    </row>
    <row r="15" spans="1:24" x14ac:dyDescent="0.25">
      <c r="A15" s="32"/>
      <c r="B15" s="33"/>
      <c r="C15" s="29" t="str">
        <f t="shared" ca="1" si="0"/>
        <v/>
      </c>
      <c r="D15" s="29" t="str">
        <f t="shared" ca="1" si="1"/>
        <v/>
      </c>
      <c r="E15" s="29" t="str">
        <f t="shared" ca="1" si="1"/>
        <v/>
      </c>
      <c r="F15" s="29" t="str">
        <f t="shared" ca="1" si="1"/>
        <v/>
      </c>
      <c r="G15" s="29" t="str">
        <f t="shared" ca="1" si="1"/>
        <v/>
      </c>
      <c r="H15" s="29" t="str">
        <f t="shared" ca="1" si="1"/>
        <v/>
      </c>
      <c r="I15" s="29" t="str">
        <f t="shared" ca="1" si="1"/>
        <v/>
      </c>
      <c r="J15" s="29" t="str">
        <f t="shared" ca="1" si="1"/>
        <v/>
      </c>
      <c r="K15" s="29" t="str">
        <f t="shared" ca="1" si="1"/>
        <v/>
      </c>
      <c r="L15" s="29" t="str">
        <f t="shared" ca="1" si="1"/>
        <v/>
      </c>
      <c r="M15" s="29" t="str">
        <f t="shared" ca="1" si="1"/>
        <v/>
      </c>
      <c r="N15" s="29" t="str">
        <f t="shared" ca="1" si="1"/>
        <v/>
      </c>
      <c r="O15" s="29" t="str">
        <f t="shared" ca="1" si="1"/>
        <v/>
      </c>
      <c r="P15" s="29" t="str">
        <f t="shared" ca="1" si="1"/>
        <v/>
      </c>
      <c r="Q15" s="29" t="str">
        <f t="shared" ca="1" si="1"/>
        <v/>
      </c>
      <c r="R15" s="29" t="str">
        <f t="shared" ca="1" si="1"/>
        <v/>
      </c>
      <c r="S15" s="29" t="str">
        <f t="shared" ca="1" si="1"/>
        <v/>
      </c>
      <c r="T15" s="29" t="str">
        <f t="shared" ca="1" si="1"/>
        <v/>
      </c>
      <c r="U15" s="29" t="str">
        <f t="shared" ca="1" si="1"/>
        <v/>
      </c>
    </row>
    <row r="16" spans="1:24" x14ac:dyDescent="0.25">
      <c r="A16" s="30"/>
      <c r="B16" s="31"/>
      <c r="C16" s="29" t="str">
        <f t="shared" ca="1" si="0"/>
        <v/>
      </c>
      <c r="D16" s="29" t="str">
        <f t="shared" ca="1" si="1"/>
        <v/>
      </c>
      <c r="E16" s="29" t="str">
        <f t="shared" ca="1" si="1"/>
        <v/>
      </c>
      <c r="F16" s="29" t="str">
        <f t="shared" ca="1" si="1"/>
        <v/>
      </c>
      <c r="G16" s="29" t="str">
        <f t="shared" ca="1" si="1"/>
        <v/>
      </c>
      <c r="H16" s="29" t="str">
        <f t="shared" ca="1" si="1"/>
        <v/>
      </c>
      <c r="I16" s="29" t="str">
        <f t="shared" ca="1" si="1"/>
        <v/>
      </c>
      <c r="J16" s="29" t="str">
        <f t="shared" ca="1" si="1"/>
        <v/>
      </c>
      <c r="K16" s="29" t="str">
        <f t="shared" ca="1" si="1"/>
        <v/>
      </c>
      <c r="L16" s="29" t="str">
        <f t="shared" ca="1" si="1"/>
        <v/>
      </c>
      <c r="M16" s="29" t="str">
        <f t="shared" ca="1" si="1"/>
        <v/>
      </c>
      <c r="N16" s="29" t="str">
        <f t="shared" ca="1" si="1"/>
        <v/>
      </c>
      <c r="O16" s="29" t="str">
        <f t="shared" ca="1" si="1"/>
        <v/>
      </c>
      <c r="P16" s="29" t="str">
        <f t="shared" ca="1" si="1"/>
        <v/>
      </c>
      <c r="Q16" s="29" t="str">
        <f t="shared" ca="1" si="1"/>
        <v/>
      </c>
      <c r="R16" s="29" t="str">
        <f t="shared" ca="1" si="1"/>
        <v/>
      </c>
      <c r="S16" s="29" t="str">
        <f t="shared" ca="1" si="1"/>
        <v/>
      </c>
      <c r="T16" s="29" t="str">
        <f t="shared" ca="1" si="1"/>
        <v/>
      </c>
      <c r="U16" s="29" t="str">
        <f t="shared" ca="1" si="1"/>
        <v/>
      </c>
    </row>
    <row r="17" spans="1:21" x14ac:dyDescent="0.25">
      <c r="A17" s="32"/>
      <c r="B17" s="33"/>
      <c r="C17" s="29" t="str">
        <f t="shared" ca="1" si="0"/>
        <v/>
      </c>
      <c r="D17" s="29" t="str">
        <f t="shared" ca="1" si="1"/>
        <v/>
      </c>
      <c r="E17" s="29" t="str">
        <f t="shared" ca="1" si="1"/>
        <v/>
      </c>
      <c r="F17" s="29" t="str">
        <f t="shared" ca="1" si="1"/>
        <v/>
      </c>
      <c r="G17" s="29" t="str">
        <f t="shared" ca="1" si="1"/>
        <v/>
      </c>
      <c r="H17" s="29" t="str">
        <f t="shared" ca="1" si="1"/>
        <v/>
      </c>
      <c r="I17" s="29" t="str">
        <f t="shared" ca="1" si="1"/>
        <v/>
      </c>
      <c r="J17" s="29" t="str">
        <f t="shared" ca="1" si="1"/>
        <v/>
      </c>
      <c r="K17" s="29" t="str">
        <f t="shared" ca="1" si="1"/>
        <v/>
      </c>
      <c r="L17" s="29" t="str">
        <f t="shared" ca="1" si="1"/>
        <v/>
      </c>
      <c r="M17" s="29" t="str">
        <f t="shared" ca="1" si="1"/>
        <v/>
      </c>
      <c r="N17" s="29" t="str">
        <f t="shared" ca="1" si="1"/>
        <v/>
      </c>
      <c r="O17" s="29" t="str">
        <f t="shared" ca="1" si="1"/>
        <v/>
      </c>
      <c r="P17" s="29" t="str">
        <f t="shared" ca="1" si="1"/>
        <v/>
      </c>
      <c r="Q17" s="29" t="str">
        <f t="shared" ca="1" si="1"/>
        <v/>
      </c>
      <c r="R17" s="29" t="str">
        <f t="shared" ca="1" si="1"/>
        <v/>
      </c>
      <c r="S17" s="29" t="str">
        <f t="shared" ca="1" si="1"/>
        <v/>
      </c>
      <c r="T17" s="29" t="str">
        <f t="shared" ca="1" si="1"/>
        <v/>
      </c>
      <c r="U17" s="29" t="str">
        <f t="shared" ca="1" si="1"/>
        <v/>
      </c>
    </row>
    <row r="18" spans="1:21" x14ac:dyDescent="0.25">
      <c r="A18" s="30"/>
      <c r="B18" s="31"/>
      <c r="C18" s="29" t="str">
        <f t="shared" ca="1" si="0"/>
        <v/>
      </c>
      <c r="D18" s="29" t="str">
        <f t="shared" ca="1" si="1"/>
        <v/>
      </c>
      <c r="E18" s="29" t="str">
        <f t="shared" ca="1" si="1"/>
        <v/>
      </c>
      <c r="F18" s="29" t="str">
        <f t="shared" ca="1" si="1"/>
        <v/>
      </c>
      <c r="G18" s="29" t="str">
        <f t="shared" ca="1" si="1"/>
        <v/>
      </c>
      <c r="H18" s="29" t="str">
        <f t="shared" ca="1" si="1"/>
        <v/>
      </c>
      <c r="I18" s="29" t="str">
        <f t="shared" ca="1" si="1"/>
        <v/>
      </c>
      <c r="J18" s="29" t="str">
        <f t="shared" ca="1" si="1"/>
        <v/>
      </c>
      <c r="K18" s="29" t="str">
        <f t="shared" ca="1" si="1"/>
        <v/>
      </c>
      <c r="L18" s="29" t="str">
        <f t="shared" ca="1" si="1"/>
        <v/>
      </c>
      <c r="M18" s="29" t="str">
        <f t="shared" ca="1" si="1"/>
        <v/>
      </c>
      <c r="N18" s="29" t="str">
        <f t="shared" ca="1" si="1"/>
        <v/>
      </c>
      <c r="O18" s="29" t="str">
        <f t="shared" ca="1" si="1"/>
        <v/>
      </c>
      <c r="P18" s="29" t="str">
        <f t="shared" ca="1" si="1"/>
        <v/>
      </c>
      <c r="Q18" s="29" t="str">
        <f t="shared" ca="1" si="1"/>
        <v/>
      </c>
      <c r="R18" s="29" t="str">
        <f t="shared" ca="1" si="1"/>
        <v/>
      </c>
      <c r="S18" s="29" t="str">
        <f t="shared" ca="1" si="1"/>
        <v/>
      </c>
      <c r="T18" s="29" t="str">
        <f t="shared" ca="1" si="1"/>
        <v/>
      </c>
      <c r="U18" s="29" t="str">
        <f t="shared" ca="1" si="1"/>
        <v/>
      </c>
    </row>
    <row r="19" spans="1:21" x14ac:dyDescent="0.25">
      <c r="A19" s="32"/>
      <c r="B19" s="33"/>
      <c r="C19" s="29" t="str">
        <f t="shared" ca="1" si="0"/>
        <v/>
      </c>
      <c r="D19" s="29" t="str">
        <f t="shared" ca="1" si="1"/>
        <v/>
      </c>
      <c r="E19" s="29" t="str">
        <f t="shared" ca="1" si="1"/>
        <v/>
      </c>
      <c r="F19" s="29" t="str">
        <f t="shared" ca="1" si="1"/>
        <v/>
      </c>
      <c r="G19" s="29" t="str">
        <f t="shared" ca="1" si="1"/>
        <v/>
      </c>
      <c r="H19" s="29" t="str">
        <f t="shared" ca="1" si="1"/>
        <v/>
      </c>
      <c r="I19" s="29" t="str">
        <f t="shared" ca="1" si="1"/>
        <v/>
      </c>
      <c r="J19" s="29" t="str">
        <f t="shared" ca="1" si="1"/>
        <v/>
      </c>
      <c r="K19" s="29" t="str">
        <f t="shared" ca="1" si="1"/>
        <v/>
      </c>
      <c r="L19" s="29" t="str">
        <f t="shared" ca="1" si="1"/>
        <v/>
      </c>
      <c r="M19" s="29" t="str">
        <f t="shared" ca="1" si="1"/>
        <v/>
      </c>
      <c r="N19" s="29" t="str">
        <f t="shared" ca="1" si="1"/>
        <v/>
      </c>
      <c r="O19" s="29" t="str">
        <f t="shared" ca="1" si="1"/>
        <v/>
      </c>
      <c r="P19" s="29" t="str">
        <f t="shared" ca="1" si="1"/>
        <v/>
      </c>
      <c r="Q19" s="29" t="str">
        <f t="shared" ca="1" si="1"/>
        <v/>
      </c>
      <c r="R19" s="29" t="str">
        <f t="shared" ca="1" si="1"/>
        <v/>
      </c>
      <c r="S19" s="29" t="str">
        <f t="shared" ca="1" si="1"/>
        <v/>
      </c>
      <c r="T19" s="29" t="str">
        <f t="shared" ca="1" si="1"/>
        <v/>
      </c>
      <c r="U19" s="29" t="str">
        <f t="shared" ca="1" si="1"/>
        <v/>
      </c>
    </row>
    <row r="20" spans="1:21" x14ac:dyDescent="0.25">
      <c r="A20" s="34"/>
      <c r="B20" s="35"/>
      <c r="C20" s="29" t="str">
        <f t="shared" ca="1" si="0"/>
        <v/>
      </c>
      <c r="D20" s="29" t="str">
        <f t="shared" ref="D20:U20" ca="1" si="2">IF(ISNUMBER(MATCH(D$3,INDIRECT("'["&amp;$A20&amp;"]Log'!$C$12:$ZZ$12"),0)),1,"")</f>
        <v/>
      </c>
      <c r="E20" s="29" t="str">
        <f t="shared" ca="1" si="2"/>
        <v/>
      </c>
      <c r="F20" s="29" t="str">
        <f t="shared" ca="1" si="2"/>
        <v/>
      </c>
      <c r="G20" s="29" t="str">
        <f t="shared" ca="1" si="2"/>
        <v/>
      </c>
      <c r="H20" s="29" t="str">
        <f t="shared" ca="1" si="2"/>
        <v/>
      </c>
      <c r="I20" s="29" t="str">
        <f t="shared" ca="1" si="2"/>
        <v/>
      </c>
      <c r="J20" s="29" t="str">
        <f t="shared" ca="1" si="2"/>
        <v/>
      </c>
      <c r="K20" s="29" t="str">
        <f t="shared" ca="1" si="2"/>
        <v/>
      </c>
      <c r="L20" s="29" t="str">
        <f t="shared" ca="1" si="2"/>
        <v/>
      </c>
      <c r="M20" s="29" t="str">
        <f t="shared" ca="1" si="2"/>
        <v/>
      </c>
      <c r="N20" s="29" t="str">
        <f t="shared" ca="1" si="2"/>
        <v/>
      </c>
      <c r="O20" s="29" t="str">
        <f t="shared" ca="1" si="2"/>
        <v/>
      </c>
      <c r="P20" s="29" t="str">
        <f t="shared" ca="1" si="2"/>
        <v/>
      </c>
      <c r="Q20" s="29" t="str">
        <f t="shared" ca="1" si="2"/>
        <v/>
      </c>
      <c r="R20" s="29" t="str">
        <f t="shared" ca="1" si="2"/>
        <v/>
      </c>
      <c r="S20" s="29" t="str">
        <f t="shared" ca="1" si="2"/>
        <v/>
      </c>
      <c r="T20" s="29" t="str">
        <f t="shared" ca="1" si="2"/>
        <v/>
      </c>
      <c r="U20" s="29" t="str">
        <f t="shared" ca="1" si="2"/>
        <v/>
      </c>
    </row>
    <row r="21" spans="1:21" x14ac:dyDescent="0.25"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</row>
    <row r="22" spans="1:21" x14ac:dyDescent="0.25"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</row>
    <row r="23" spans="1:21" x14ac:dyDescent="0.25"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</row>
    <row r="24" spans="1:21" x14ac:dyDescent="0.25"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</row>
    <row r="25" spans="1:21" x14ac:dyDescent="0.25"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</row>
    <row r="26" spans="1:21" x14ac:dyDescent="0.25"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</row>
    <row r="27" spans="1:21" x14ac:dyDescent="0.25"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</row>
    <row r="28" spans="1:21" x14ac:dyDescent="0.25"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</row>
    <row r="29" spans="1:21" x14ac:dyDescent="0.25"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</row>
    <row r="30" spans="1:21" x14ac:dyDescent="0.25"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</row>
    <row r="31" spans="1:21" x14ac:dyDescent="0.25"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</row>
    <row r="32" spans="1:21" x14ac:dyDescent="0.25"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</row>
    <row r="33" spans="3:21" x14ac:dyDescent="0.25"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</row>
    <row r="34" spans="3:21" x14ac:dyDescent="0.25"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</row>
    <row r="35" spans="3:21" x14ac:dyDescent="0.25"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</row>
    <row r="36" spans="3:21" x14ac:dyDescent="0.25"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</row>
    <row r="37" spans="3:21" x14ac:dyDescent="0.25"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</row>
    <row r="38" spans="3:21" x14ac:dyDescent="0.25"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</row>
    <row r="39" spans="3:21" x14ac:dyDescent="0.25"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</row>
    <row r="40" spans="3:21" x14ac:dyDescent="0.25"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</row>
    <row r="41" spans="3:21" x14ac:dyDescent="0.25"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</row>
    <row r="42" spans="3:21" x14ac:dyDescent="0.25"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</row>
    <row r="43" spans="3:21" x14ac:dyDescent="0.25"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</row>
    <row r="44" spans="3:21" x14ac:dyDescent="0.25"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</row>
    <row r="45" spans="3:21" x14ac:dyDescent="0.25"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</row>
    <row r="46" spans="3:21" x14ac:dyDescent="0.25"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</row>
    <row r="47" spans="3:21" x14ac:dyDescent="0.25"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</row>
    <row r="48" spans="3:21" x14ac:dyDescent="0.25"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</row>
    <row r="49" spans="3:21" x14ac:dyDescent="0.25"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</row>
    <row r="50" spans="3:21" x14ac:dyDescent="0.25"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</row>
    <row r="51" spans="3:21" x14ac:dyDescent="0.25"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</row>
    <row r="52" spans="3:21" x14ac:dyDescent="0.25"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</row>
    <row r="53" spans="3:21" x14ac:dyDescent="0.25"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</row>
    <row r="54" spans="3:21" x14ac:dyDescent="0.25"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</row>
    <row r="55" spans="3:21" x14ac:dyDescent="0.25"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</row>
    <row r="56" spans="3:21" x14ac:dyDescent="0.25"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</row>
    <row r="57" spans="3:21" x14ac:dyDescent="0.25"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</row>
    <row r="58" spans="3:21" x14ac:dyDescent="0.25"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</row>
    <row r="59" spans="3:21" x14ac:dyDescent="0.25"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</row>
    <row r="60" spans="3:21" x14ac:dyDescent="0.25"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</row>
    <row r="61" spans="3:21" x14ac:dyDescent="0.25"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</row>
    <row r="62" spans="3:21" x14ac:dyDescent="0.25"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</row>
    <row r="63" spans="3:21" x14ac:dyDescent="0.25"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</row>
    <row r="64" spans="3:21" x14ac:dyDescent="0.25"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</row>
    <row r="65" spans="3:21" x14ac:dyDescent="0.25"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</row>
    <row r="66" spans="3:21" x14ac:dyDescent="0.25"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</row>
    <row r="67" spans="3:21" x14ac:dyDescent="0.25"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</row>
    <row r="68" spans="3:21" x14ac:dyDescent="0.25"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</row>
    <row r="69" spans="3:21" x14ac:dyDescent="0.25"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</row>
    <row r="70" spans="3:21" x14ac:dyDescent="0.25"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</row>
    <row r="71" spans="3:21" x14ac:dyDescent="0.25"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</row>
    <row r="72" spans="3:21" x14ac:dyDescent="0.25"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</row>
    <row r="73" spans="3:21" x14ac:dyDescent="0.25"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</row>
    <row r="74" spans="3:21" x14ac:dyDescent="0.25"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</row>
    <row r="75" spans="3:21" x14ac:dyDescent="0.25"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</row>
    <row r="76" spans="3:21" x14ac:dyDescent="0.25"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</row>
    <row r="77" spans="3:21" x14ac:dyDescent="0.25"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</row>
    <row r="78" spans="3:21" x14ac:dyDescent="0.25"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</row>
    <row r="79" spans="3:21" x14ac:dyDescent="0.25"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</row>
    <row r="80" spans="3:21" x14ac:dyDescent="0.25"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</row>
    <row r="81" spans="3:21" x14ac:dyDescent="0.25"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</row>
    <row r="82" spans="3:21" x14ac:dyDescent="0.25"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</row>
    <row r="83" spans="3:21" x14ac:dyDescent="0.25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</row>
    <row r="84" spans="3:21" x14ac:dyDescent="0.25"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</row>
    <row r="85" spans="3:21" x14ac:dyDescent="0.25"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</row>
    <row r="86" spans="3:21" x14ac:dyDescent="0.25"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</row>
    <row r="87" spans="3:21" x14ac:dyDescent="0.25"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</row>
    <row r="88" spans="3:21" x14ac:dyDescent="0.25"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</row>
    <row r="89" spans="3:21" x14ac:dyDescent="0.25"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</row>
    <row r="90" spans="3:21" x14ac:dyDescent="0.25"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</row>
    <row r="91" spans="3:21" x14ac:dyDescent="0.25"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</row>
    <row r="92" spans="3:21" x14ac:dyDescent="0.25"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</row>
    <row r="93" spans="3:21" x14ac:dyDescent="0.25"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</row>
    <row r="94" spans="3:21" x14ac:dyDescent="0.25"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</row>
    <row r="95" spans="3:21" x14ac:dyDescent="0.25"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</row>
    <row r="96" spans="3:21" x14ac:dyDescent="0.25"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</row>
    <row r="97" spans="3:21" x14ac:dyDescent="0.25"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</row>
    <row r="98" spans="3:21" x14ac:dyDescent="0.25"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</row>
    <row r="99" spans="3:21" x14ac:dyDescent="0.25"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</row>
    <row r="100" spans="3:21" x14ac:dyDescent="0.25"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</row>
    <row r="101" spans="3:21" x14ac:dyDescent="0.25"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</row>
    <row r="102" spans="3:21" x14ac:dyDescent="0.25"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</row>
    <row r="103" spans="3:21" x14ac:dyDescent="0.25"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</row>
    <row r="104" spans="3:21" x14ac:dyDescent="0.25"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</row>
    <row r="105" spans="3:21" x14ac:dyDescent="0.25"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</row>
    <row r="106" spans="3:21" x14ac:dyDescent="0.25"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</row>
    <row r="107" spans="3:21" x14ac:dyDescent="0.25"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</row>
    <row r="108" spans="3:21" x14ac:dyDescent="0.25"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</row>
    <row r="109" spans="3:21" x14ac:dyDescent="0.25"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</row>
    <row r="110" spans="3:21" x14ac:dyDescent="0.25"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</row>
    <row r="111" spans="3:21" x14ac:dyDescent="0.25"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</row>
    <row r="112" spans="3:21" x14ac:dyDescent="0.25"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</row>
    <row r="113" spans="3:21" x14ac:dyDescent="0.25"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</row>
    <row r="114" spans="3:21" x14ac:dyDescent="0.25"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</row>
    <row r="115" spans="3:21" x14ac:dyDescent="0.25"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</row>
    <row r="116" spans="3:21" x14ac:dyDescent="0.25"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</row>
    <row r="117" spans="3:21" x14ac:dyDescent="0.25"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</row>
    <row r="118" spans="3:21" x14ac:dyDescent="0.25"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</row>
    <row r="119" spans="3:21" x14ac:dyDescent="0.25"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</row>
    <row r="120" spans="3:21" x14ac:dyDescent="0.25"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</row>
    <row r="121" spans="3:21" x14ac:dyDescent="0.25"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</row>
    <row r="122" spans="3:21" x14ac:dyDescent="0.25"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</row>
    <row r="123" spans="3:21" x14ac:dyDescent="0.25"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</row>
    <row r="124" spans="3:21" x14ac:dyDescent="0.25"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</row>
    <row r="125" spans="3:21" x14ac:dyDescent="0.25"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</row>
    <row r="126" spans="3:21" x14ac:dyDescent="0.25"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</row>
    <row r="127" spans="3:21" x14ac:dyDescent="0.25"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</row>
    <row r="128" spans="3:21" x14ac:dyDescent="0.25"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</row>
    <row r="129" spans="3:21" x14ac:dyDescent="0.25"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</row>
    <row r="130" spans="3:21" x14ac:dyDescent="0.25"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</row>
    <row r="131" spans="3:21" x14ac:dyDescent="0.25"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</row>
    <row r="132" spans="3:21" x14ac:dyDescent="0.25"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</row>
    <row r="133" spans="3:21" x14ac:dyDescent="0.25"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</row>
    <row r="134" spans="3:21" x14ac:dyDescent="0.25"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</row>
    <row r="135" spans="3:21" x14ac:dyDescent="0.25"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</row>
    <row r="136" spans="3:21" x14ac:dyDescent="0.25"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</row>
    <row r="137" spans="3:21" x14ac:dyDescent="0.25"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</row>
    <row r="138" spans="3:21" x14ac:dyDescent="0.25"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</row>
    <row r="139" spans="3:21" x14ac:dyDescent="0.25"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</row>
    <row r="140" spans="3:21" x14ac:dyDescent="0.25"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</row>
    <row r="141" spans="3:21" x14ac:dyDescent="0.25"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</row>
    <row r="142" spans="3:21" x14ac:dyDescent="0.25"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</row>
    <row r="143" spans="3:21" x14ac:dyDescent="0.25"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</row>
    <row r="144" spans="3:21" x14ac:dyDescent="0.25"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</row>
    <row r="145" spans="3:21" x14ac:dyDescent="0.25"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</row>
    <row r="146" spans="3:21" x14ac:dyDescent="0.25"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</row>
    <row r="147" spans="3:21" x14ac:dyDescent="0.25"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</row>
    <row r="148" spans="3:21" x14ac:dyDescent="0.25"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</row>
    <row r="149" spans="3:21" x14ac:dyDescent="0.25"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</row>
    <row r="150" spans="3:21" x14ac:dyDescent="0.25"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</row>
    <row r="151" spans="3:21" x14ac:dyDescent="0.25"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</row>
    <row r="152" spans="3:21" x14ac:dyDescent="0.25"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</row>
    <row r="153" spans="3:21" x14ac:dyDescent="0.25"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</row>
    <row r="154" spans="3:21" x14ac:dyDescent="0.25"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</row>
    <row r="155" spans="3:21" x14ac:dyDescent="0.25"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</row>
    <row r="156" spans="3:21" x14ac:dyDescent="0.25"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</row>
    <row r="157" spans="3:21" x14ac:dyDescent="0.25"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</row>
    <row r="158" spans="3:21" x14ac:dyDescent="0.25"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</row>
    <row r="159" spans="3:21" x14ac:dyDescent="0.25"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</row>
    <row r="160" spans="3:21" x14ac:dyDescent="0.25"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</row>
    <row r="161" spans="3:21" x14ac:dyDescent="0.25"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</row>
    <row r="162" spans="3:21" x14ac:dyDescent="0.25"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</row>
    <row r="163" spans="3:21" x14ac:dyDescent="0.25"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</row>
    <row r="164" spans="3:21" x14ac:dyDescent="0.25"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</row>
    <row r="165" spans="3:21" x14ac:dyDescent="0.25"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</row>
    <row r="166" spans="3:21" x14ac:dyDescent="0.25"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</row>
    <row r="167" spans="3:21" x14ac:dyDescent="0.25"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</row>
    <row r="168" spans="3:21" x14ac:dyDescent="0.25"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</row>
    <row r="169" spans="3:21" x14ac:dyDescent="0.25"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</row>
    <row r="170" spans="3:21" x14ac:dyDescent="0.25"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</row>
    <row r="171" spans="3:21" x14ac:dyDescent="0.25"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</row>
    <row r="172" spans="3:21" x14ac:dyDescent="0.25"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</row>
    <row r="173" spans="3:21" x14ac:dyDescent="0.25"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</row>
    <row r="174" spans="3:21" x14ac:dyDescent="0.25"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</row>
    <row r="175" spans="3:21" x14ac:dyDescent="0.25"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</row>
    <row r="176" spans="3:21" x14ac:dyDescent="0.25"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</row>
    <row r="177" spans="3:21" x14ac:dyDescent="0.25"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</row>
    <row r="178" spans="3:21" x14ac:dyDescent="0.25"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</row>
    <row r="179" spans="3:21" x14ac:dyDescent="0.25"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</row>
    <row r="180" spans="3:21" x14ac:dyDescent="0.25"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</row>
    <row r="181" spans="3:21" x14ac:dyDescent="0.25"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</row>
    <row r="182" spans="3:21" x14ac:dyDescent="0.25"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</row>
    <row r="183" spans="3:21" x14ac:dyDescent="0.25"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</row>
    <row r="184" spans="3:21" x14ac:dyDescent="0.25"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</row>
    <row r="185" spans="3:21" x14ac:dyDescent="0.25"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</row>
    <row r="186" spans="3:21" x14ac:dyDescent="0.25"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</row>
    <row r="187" spans="3:21" x14ac:dyDescent="0.25"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</row>
    <row r="188" spans="3:21" x14ac:dyDescent="0.25"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</row>
    <row r="189" spans="3:21" x14ac:dyDescent="0.25"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</row>
    <row r="190" spans="3:21" x14ac:dyDescent="0.25"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</row>
    <row r="191" spans="3:21" x14ac:dyDescent="0.25"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</row>
    <row r="192" spans="3:21" x14ac:dyDescent="0.25"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</row>
    <row r="193" spans="3:21" x14ac:dyDescent="0.25"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</row>
    <row r="194" spans="3:21" x14ac:dyDescent="0.25"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</row>
    <row r="195" spans="3:21" x14ac:dyDescent="0.25"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</row>
    <row r="196" spans="3:21" x14ac:dyDescent="0.25"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</row>
    <row r="197" spans="3:21" x14ac:dyDescent="0.25"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</row>
    <row r="198" spans="3:21" x14ac:dyDescent="0.25"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</row>
    <row r="199" spans="3:21" x14ac:dyDescent="0.25"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</row>
    <row r="200" spans="3:21" x14ac:dyDescent="0.25"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</row>
    <row r="201" spans="3:21" x14ac:dyDescent="0.25"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</row>
    <row r="202" spans="3:21" x14ac:dyDescent="0.25"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</row>
    <row r="203" spans="3:21" x14ac:dyDescent="0.25"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</row>
    <row r="204" spans="3:21" x14ac:dyDescent="0.25"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</row>
    <row r="205" spans="3:21" x14ac:dyDescent="0.25"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</row>
    <row r="206" spans="3:21" x14ac:dyDescent="0.25"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</row>
    <row r="207" spans="3:21" x14ac:dyDescent="0.25"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</row>
    <row r="208" spans="3:21" x14ac:dyDescent="0.25"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</row>
    <row r="209" spans="3:21" x14ac:dyDescent="0.25"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</row>
    <row r="210" spans="3:21" x14ac:dyDescent="0.25"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</row>
    <row r="211" spans="3:21" x14ac:dyDescent="0.25"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</row>
    <row r="212" spans="3:21" x14ac:dyDescent="0.25"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</row>
    <row r="213" spans="3:21" x14ac:dyDescent="0.25"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</row>
    <row r="214" spans="3:21" x14ac:dyDescent="0.25"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</row>
    <row r="215" spans="3:21" x14ac:dyDescent="0.25"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</row>
    <row r="216" spans="3:21" x14ac:dyDescent="0.25"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</row>
    <row r="217" spans="3:21" x14ac:dyDescent="0.25"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</row>
    <row r="218" spans="3:21" x14ac:dyDescent="0.25"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</row>
    <row r="219" spans="3:21" x14ac:dyDescent="0.25"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</row>
    <row r="220" spans="3:21" x14ac:dyDescent="0.25"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</row>
    <row r="221" spans="3:21" x14ac:dyDescent="0.25"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</row>
    <row r="222" spans="3:21" x14ac:dyDescent="0.25"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</row>
    <row r="223" spans="3:21" x14ac:dyDescent="0.25"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</row>
    <row r="224" spans="3:21" x14ac:dyDescent="0.25"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</row>
    <row r="225" spans="3:21" x14ac:dyDescent="0.25"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</row>
    <row r="226" spans="3:21" x14ac:dyDescent="0.25"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</row>
    <row r="227" spans="3:21" x14ac:dyDescent="0.25"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</row>
    <row r="228" spans="3:21" x14ac:dyDescent="0.25"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</row>
    <row r="229" spans="3:21" x14ac:dyDescent="0.25"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</row>
    <row r="230" spans="3:21" x14ac:dyDescent="0.25"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</row>
    <row r="231" spans="3:21" x14ac:dyDescent="0.25"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</row>
    <row r="232" spans="3:21" x14ac:dyDescent="0.25"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</row>
    <row r="233" spans="3:21" x14ac:dyDescent="0.25"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</row>
    <row r="234" spans="3:21" x14ac:dyDescent="0.25"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</row>
    <row r="235" spans="3:21" x14ac:dyDescent="0.25"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</row>
    <row r="236" spans="3:21" x14ac:dyDescent="0.25"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</row>
    <row r="237" spans="3:21" x14ac:dyDescent="0.25"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</row>
    <row r="238" spans="3:21" x14ac:dyDescent="0.25"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</row>
    <row r="239" spans="3:21" x14ac:dyDescent="0.25"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</row>
    <row r="240" spans="3:21" x14ac:dyDescent="0.25"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</row>
    <row r="241" spans="3:21" x14ac:dyDescent="0.25"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</row>
    <row r="242" spans="3:21" x14ac:dyDescent="0.25"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</row>
    <row r="243" spans="3:21" x14ac:dyDescent="0.25"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</row>
    <row r="244" spans="3:21" x14ac:dyDescent="0.25"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</row>
    <row r="245" spans="3:21" x14ac:dyDescent="0.25"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</row>
    <row r="246" spans="3:21" x14ac:dyDescent="0.25"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</row>
    <row r="247" spans="3:21" x14ac:dyDescent="0.25"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</row>
    <row r="248" spans="3:21" x14ac:dyDescent="0.25"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</row>
    <row r="249" spans="3:21" x14ac:dyDescent="0.25"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</row>
    <row r="250" spans="3:21" x14ac:dyDescent="0.25"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</row>
    <row r="251" spans="3:21" x14ac:dyDescent="0.25"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</row>
    <row r="252" spans="3:21" x14ac:dyDescent="0.25"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</row>
    <row r="253" spans="3:21" x14ac:dyDescent="0.25"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</row>
    <row r="254" spans="3:21" x14ac:dyDescent="0.25"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</row>
    <row r="255" spans="3:21" x14ac:dyDescent="0.25"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</row>
    <row r="256" spans="3:21" x14ac:dyDescent="0.25"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</row>
    <row r="257" spans="3:21" x14ac:dyDescent="0.25"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</row>
    <row r="258" spans="3:21" x14ac:dyDescent="0.25"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</row>
    <row r="259" spans="3:21" x14ac:dyDescent="0.25"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</row>
    <row r="260" spans="3:21" x14ac:dyDescent="0.25"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</row>
    <row r="261" spans="3:21" x14ac:dyDescent="0.25"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</row>
    <row r="262" spans="3:21" x14ac:dyDescent="0.25"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</row>
    <row r="263" spans="3:21" x14ac:dyDescent="0.25"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</row>
    <row r="264" spans="3:21" x14ac:dyDescent="0.25"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</row>
    <row r="265" spans="3:21" x14ac:dyDescent="0.25"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</row>
    <row r="266" spans="3:21" x14ac:dyDescent="0.25"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</row>
    <row r="267" spans="3:21" x14ac:dyDescent="0.25"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</row>
    <row r="268" spans="3:21" x14ac:dyDescent="0.25"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</row>
    <row r="269" spans="3:21" x14ac:dyDescent="0.25"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</row>
    <row r="270" spans="3:21" x14ac:dyDescent="0.25"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</row>
    <row r="271" spans="3:21" x14ac:dyDescent="0.25"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</row>
    <row r="272" spans="3:21" x14ac:dyDescent="0.25"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</row>
    <row r="273" spans="3:21" x14ac:dyDescent="0.25"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</row>
    <row r="274" spans="3:21" x14ac:dyDescent="0.25"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</row>
    <row r="275" spans="3:21" x14ac:dyDescent="0.25"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</row>
    <row r="276" spans="3:21" x14ac:dyDescent="0.25"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</row>
    <row r="277" spans="3:21" x14ac:dyDescent="0.25"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</row>
    <row r="278" spans="3:21" x14ac:dyDescent="0.25"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</row>
    <row r="279" spans="3:21" x14ac:dyDescent="0.25"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</row>
    <row r="280" spans="3:21" x14ac:dyDescent="0.25"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</row>
    <row r="281" spans="3:21" x14ac:dyDescent="0.25"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</row>
    <row r="282" spans="3:21" x14ac:dyDescent="0.25"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</row>
    <row r="283" spans="3:21" x14ac:dyDescent="0.25"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</row>
    <row r="284" spans="3:21" x14ac:dyDescent="0.25"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</row>
    <row r="285" spans="3:21" x14ac:dyDescent="0.25"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</row>
    <row r="286" spans="3:21" x14ac:dyDescent="0.25"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</row>
    <row r="287" spans="3:21" x14ac:dyDescent="0.25"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</row>
    <row r="288" spans="3:21" x14ac:dyDescent="0.25"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</row>
    <row r="289" spans="3:21" x14ac:dyDescent="0.25"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</row>
    <row r="290" spans="3:21" x14ac:dyDescent="0.25"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</row>
    <row r="291" spans="3:21" x14ac:dyDescent="0.25"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</row>
    <row r="292" spans="3:21" x14ac:dyDescent="0.25"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</row>
    <row r="293" spans="3:21" x14ac:dyDescent="0.25"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</row>
    <row r="294" spans="3:21" x14ac:dyDescent="0.25"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</row>
    <row r="295" spans="3:21" x14ac:dyDescent="0.25"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</row>
    <row r="296" spans="3:21" x14ac:dyDescent="0.25"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</row>
    <row r="297" spans="3:21" x14ac:dyDescent="0.25"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</row>
    <row r="298" spans="3:21" x14ac:dyDescent="0.25"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</row>
    <row r="299" spans="3:21" x14ac:dyDescent="0.25"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</row>
    <row r="300" spans="3:21" x14ac:dyDescent="0.25"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</row>
    <row r="301" spans="3:21" x14ac:dyDescent="0.25"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</row>
    <row r="302" spans="3:21" x14ac:dyDescent="0.25"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</row>
    <row r="303" spans="3:21" x14ac:dyDescent="0.25"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</row>
    <row r="304" spans="3:21" x14ac:dyDescent="0.25"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</row>
    <row r="305" spans="3:21" x14ac:dyDescent="0.25"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</row>
    <row r="306" spans="3:21" x14ac:dyDescent="0.25"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</row>
    <row r="307" spans="3:21" x14ac:dyDescent="0.25"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</row>
    <row r="308" spans="3:21" x14ac:dyDescent="0.25"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</row>
    <row r="309" spans="3:21" x14ac:dyDescent="0.25"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</row>
    <row r="310" spans="3:21" x14ac:dyDescent="0.25"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</row>
    <row r="311" spans="3:21" x14ac:dyDescent="0.25"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</row>
    <row r="312" spans="3:21" x14ac:dyDescent="0.25"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</row>
    <row r="313" spans="3:21" x14ac:dyDescent="0.25"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</row>
    <row r="314" spans="3:21" x14ac:dyDescent="0.25"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</row>
    <row r="315" spans="3:21" x14ac:dyDescent="0.25"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</row>
    <row r="316" spans="3:21" x14ac:dyDescent="0.25"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</row>
    <row r="317" spans="3:21" x14ac:dyDescent="0.25"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</row>
    <row r="318" spans="3:21" x14ac:dyDescent="0.25"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</row>
    <row r="319" spans="3:21" x14ac:dyDescent="0.25"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</row>
    <row r="320" spans="3:21" x14ac:dyDescent="0.25"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</row>
    <row r="321" spans="3:21" x14ac:dyDescent="0.25"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</row>
    <row r="322" spans="3:21" x14ac:dyDescent="0.25"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</row>
    <row r="323" spans="3:21" x14ac:dyDescent="0.25"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</row>
    <row r="324" spans="3:21" x14ac:dyDescent="0.25"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</row>
    <row r="325" spans="3:21" x14ac:dyDescent="0.25"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</row>
    <row r="326" spans="3:21" x14ac:dyDescent="0.25"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</row>
    <row r="327" spans="3:21" x14ac:dyDescent="0.25"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</row>
    <row r="328" spans="3:21" x14ac:dyDescent="0.25"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</row>
    <row r="329" spans="3:21" x14ac:dyDescent="0.25"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</row>
    <row r="330" spans="3:21" x14ac:dyDescent="0.25"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</row>
    <row r="331" spans="3:21" x14ac:dyDescent="0.25"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</row>
    <row r="332" spans="3:21" x14ac:dyDescent="0.25"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</row>
    <row r="333" spans="3:21" x14ac:dyDescent="0.25"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</row>
    <row r="334" spans="3:21" x14ac:dyDescent="0.25"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</row>
    <row r="335" spans="3:21" x14ac:dyDescent="0.25"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</row>
    <row r="336" spans="3:21" x14ac:dyDescent="0.25"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</row>
    <row r="337" spans="3:21" x14ac:dyDescent="0.25"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</row>
    <row r="338" spans="3:21" x14ac:dyDescent="0.25"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</row>
    <row r="339" spans="3:21" x14ac:dyDescent="0.25"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</row>
    <row r="340" spans="3:21" x14ac:dyDescent="0.25"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</row>
    <row r="341" spans="3:21" x14ac:dyDescent="0.25"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</row>
    <row r="342" spans="3:21" x14ac:dyDescent="0.25"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</row>
    <row r="343" spans="3:21" x14ac:dyDescent="0.25"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</row>
    <row r="344" spans="3:21" x14ac:dyDescent="0.25"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</row>
    <row r="345" spans="3:21" x14ac:dyDescent="0.25"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</row>
    <row r="346" spans="3:21" x14ac:dyDescent="0.25"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</row>
    <row r="347" spans="3:21" x14ac:dyDescent="0.25"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</row>
    <row r="348" spans="3:21" x14ac:dyDescent="0.25"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</row>
    <row r="349" spans="3:21" x14ac:dyDescent="0.25"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</row>
    <row r="350" spans="3:21" x14ac:dyDescent="0.25"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</row>
    <row r="351" spans="3:21" x14ac:dyDescent="0.25"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</row>
    <row r="352" spans="3:21" x14ac:dyDescent="0.25"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</row>
    <row r="353" spans="3:21" x14ac:dyDescent="0.25"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</row>
    <row r="354" spans="3:21" x14ac:dyDescent="0.25"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</row>
    <row r="355" spans="3:21" x14ac:dyDescent="0.25"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</row>
    <row r="356" spans="3:21" x14ac:dyDescent="0.25"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</row>
    <row r="357" spans="3:21" x14ac:dyDescent="0.25"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</row>
    <row r="358" spans="3:21" x14ac:dyDescent="0.25"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</row>
    <row r="359" spans="3:21" x14ac:dyDescent="0.25"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</row>
    <row r="360" spans="3:21" x14ac:dyDescent="0.25"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</row>
    <row r="361" spans="3:21" x14ac:dyDescent="0.25"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</row>
    <row r="362" spans="3:21" x14ac:dyDescent="0.25"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</row>
    <row r="363" spans="3:21" x14ac:dyDescent="0.25"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</row>
    <row r="364" spans="3:21" x14ac:dyDescent="0.25"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</row>
    <row r="365" spans="3:21" x14ac:dyDescent="0.25"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</row>
    <row r="366" spans="3:21" x14ac:dyDescent="0.25"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</row>
    <row r="367" spans="3:21" x14ac:dyDescent="0.25"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</row>
    <row r="368" spans="3:21" x14ac:dyDescent="0.25"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</row>
    <row r="369" spans="3:21" x14ac:dyDescent="0.25"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</row>
    <row r="370" spans="3:21" x14ac:dyDescent="0.25"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</row>
    <row r="371" spans="3:21" x14ac:dyDescent="0.25"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</row>
    <row r="372" spans="3:21" x14ac:dyDescent="0.25"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</row>
    <row r="373" spans="3:21" x14ac:dyDescent="0.25"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</row>
    <row r="374" spans="3:21" x14ac:dyDescent="0.25"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</row>
    <row r="375" spans="3:21" x14ac:dyDescent="0.25"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</row>
    <row r="376" spans="3:21" x14ac:dyDescent="0.25"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</row>
    <row r="377" spans="3:21" x14ac:dyDescent="0.25"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</row>
    <row r="378" spans="3:21" x14ac:dyDescent="0.25"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</row>
    <row r="379" spans="3:21" x14ac:dyDescent="0.25"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</row>
    <row r="380" spans="3:21" x14ac:dyDescent="0.25"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</row>
    <row r="381" spans="3:21" x14ac:dyDescent="0.25"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</row>
    <row r="382" spans="3:21" x14ac:dyDescent="0.25"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</row>
    <row r="383" spans="3:21" x14ac:dyDescent="0.25"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</row>
    <row r="384" spans="3:21" x14ac:dyDescent="0.25"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</row>
    <row r="385" spans="3:21" x14ac:dyDescent="0.25"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</row>
    <row r="386" spans="3:21" x14ac:dyDescent="0.25"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</row>
    <row r="387" spans="3:21" x14ac:dyDescent="0.25"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</row>
    <row r="388" spans="3:21" x14ac:dyDescent="0.25"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</row>
    <row r="389" spans="3:21" x14ac:dyDescent="0.25"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</row>
    <row r="390" spans="3:21" x14ac:dyDescent="0.25"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</row>
    <row r="391" spans="3:21" x14ac:dyDescent="0.25"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</row>
    <row r="392" spans="3:21" x14ac:dyDescent="0.25"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</row>
    <row r="393" spans="3:21" x14ac:dyDescent="0.25"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</row>
    <row r="394" spans="3:21" x14ac:dyDescent="0.25"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</row>
    <row r="395" spans="3:21" x14ac:dyDescent="0.25"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</row>
    <row r="396" spans="3:21" x14ac:dyDescent="0.25"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</row>
    <row r="397" spans="3:21" x14ac:dyDescent="0.25"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</row>
    <row r="398" spans="3:21" x14ac:dyDescent="0.25"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</row>
    <row r="399" spans="3:21" x14ac:dyDescent="0.25"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</row>
    <row r="400" spans="3:21" x14ac:dyDescent="0.25"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</row>
    <row r="401" spans="3:21" x14ac:dyDescent="0.25"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</row>
    <row r="402" spans="3:21" x14ac:dyDescent="0.25"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</row>
    <row r="403" spans="3:21" x14ac:dyDescent="0.25"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</row>
    <row r="404" spans="3:21" x14ac:dyDescent="0.25"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</row>
    <row r="405" spans="3:21" x14ac:dyDescent="0.25"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</row>
    <row r="406" spans="3:21" x14ac:dyDescent="0.25"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</row>
    <row r="407" spans="3:21" x14ac:dyDescent="0.25"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</row>
    <row r="408" spans="3:21" x14ac:dyDescent="0.25"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</row>
    <row r="409" spans="3:21" x14ac:dyDescent="0.25"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</row>
    <row r="410" spans="3:21" x14ac:dyDescent="0.25"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</row>
    <row r="411" spans="3:21" x14ac:dyDescent="0.25"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</row>
    <row r="412" spans="3:21" x14ac:dyDescent="0.25"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</row>
    <row r="413" spans="3:21" x14ac:dyDescent="0.25"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</row>
    <row r="414" spans="3:21" x14ac:dyDescent="0.25"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</row>
    <row r="415" spans="3:21" x14ac:dyDescent="0.25"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</row>
    <row r="416" spans="3:21" x14ac:dyDescent="0.25"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</row>
    <row r="417" spans="3:21" x14ac:dyDescent="0.25"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</row>
    <row r="418" spans="3:21" x14ac:dyDescent="0.25"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</row>
    <row r="419" spans="3:21" x14ac:dyDescent="0.25"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</row>
    <row r="420" spans="3:21" x14ac:dyDescent="0.25"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</row>
    <row r="421" spans="3:21" x14ac:dyDescent="0.25"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</row>
    <row r="422" spans="3:21" x14ac:dyDescent="0.25"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</row>
    <row r="423" spans="3:21" x14ac:dyDescent="0.25"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</row>
    <row r="424" spans="3:21" x14ac:dyDescent="0.25"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</row>
    <row r="425" spans="3:21" x14ac:dyDescent="0.25"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</row>
    <row r="426" spans="3:21" x14ac:dyDescent="0.25"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</row>
    <row r="427" spans="3:21" x14ac:dyDescent="0.25"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</row>
    <row r="428" spans="3:21" x14ac:dyDescent="0.25"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</row>
    <row r="429" spans="3:21" x14ac:dyDescent="0.25"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</row>
    <row r="430" spans="3:21" x14ac:dyDescent="0.25"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</row>
    <row r="431" spans="3:21" x14ac:dyDescent="0.25"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</row>
    <row r="432" spans="3:21" x14ac:dyDescent="0.25"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</row>
    <row r="433" spans="3:21" x14ac:dyDescent="0.25"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</row>
    <row r="434" spans="3:21" x14ac:dyDescent="0.25"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</row>
    <row r="435" spans="3:21" x14ac:dyDescent="0.25"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</row>
    <row r="436" spans="3:21" x14ac:dyDescent="0.25"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</row>
    <row r="437" spans="3:21" x14ac:dyDescent="0.25"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</row>
    <row r="438" spans="3:21" x14ac:dyDescent="0.25"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</row>
    <row r="439" spans="3:21" x14ac:dyDescent="0.25"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</row>
    <row r="440" spans="3:21" x14ac:dyDescent="0.25"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</row>
    <row r="441" spans="3:21" x14ac:dyDescent="0.25"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</row>
    <row r="442" spans="3:21" x14ac:dyDescent="0.25"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</row>
    <row r="443" spans="3:21" x14ac:dyDescent="0.25"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</row>
    <row r="444" spans="3:21" x14ac:dyDescent="0.25"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</row>
    <row r="445" spans="3:21" x14ac:dyDescent="0.25"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</row>
    <row r="446" spans="3:21" x14ac:dyDescent="0.25"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</row>
    <row r="447" spans="3:21" x14ac:dyDescent="0.25"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</row>
    <row r="448" spans="3:21" x14ac:dyDescent="0.25"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</row>
    <row r="449" spans="3:21" x14ac:dyDescent="0.25"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</row>
    <row r="450" spans="3:21" x14ac:dyDescent="0.25"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</row>
    <row r="451" spans="3:21" x14ac:dyDescent="0.25"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</row>
    <row r="452" spans="3:21" x14ac:dyDescent="0.25"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</row>
    <row r="453" spans="3:21" x14ac:dyDescent="0.25"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</row>
    <row r="454" spans="3:21" x14ac:dyDescent="0.25"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</row>
    <row r="455" spans="3:21" x14ac:dyDescent="0.25"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</row>
    <row r="456" spans="3:21" x14ac:dyDescent="0.25"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</row>
    <row r="457" spans="3:21" x14ac:dyDescent="0.25"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</row>
    <row r="458" spans="3:21" x14ac:dyDescent="0.25"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</row>
    <row r="459" spans="3:21" x14ac:dyDescent="0.25"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</row>
    <row r="460" spans="3:21" x14ac:dyDescent="0.25"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</row>
    <row r="461" spans="3:21" x14ac:dyDescent="0.25"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</row>
    <row r="462" spans="3:21" x14ac:dyDescent="0.25"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</row>
    <row r="463" spans="3:21" x14ac:dyDescent="0.25"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</row>
    <row r="464" spans="3:21" x14ac:dyDescent="0.25"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</row>
    <row r="465" spans="3:21" x14ac:dyDescent="0.25"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</row>
    <row r="466" spans="3:21" x14ac:dyDescent="0.25"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</row>
    <row r="467" spans="3:21" x14ac:dyDescent="0.25"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</row>
    <row r="468" spans="3:21" x14ac:dyDescent="0.25"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</row>
    <row r="469" spans="3:21" x14ac:dyDescent="0.25"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</row>
    <row r="470" spans="3:21" x14ac:dyDescent="0.25"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</row>
    <row r="471" spans="3:21" x14ac:dyDescent="0.25"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</row>
    <row r="472" spans="3:21" x14ac:dyDescent="0.25"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</row>
    <row r="473" spans="3:21" x14ac:dyDescent="0.25"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</row>
    <row r="474" spans="3:21" x14ac:dyDescent="0.25"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</row>
    <row r="475" spans="3:21" x14ac:dyDescent="0.25"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</row>
    <row r="476" spans="3:21" x14ac:dyDescent="0.25"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</row>
    <row r="477" spans="3:21" x14ac:dyDescent="0.25"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</row>
    <row r="478" spans="3:21" x14ac:dyDescent="0.25"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</row>
    <row r="479" spans="3:21" x14ac:dyDescent="0.25"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</row>
    <row r="480" spans="3:21" x14ac:dyDescent="0.25"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</row>
    <row r="481" spans="3:21" x14ac:dyDescent="0.25"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</row>
    <row r="482" spans="3:21" x14ac:dyDescent="0.25"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</row>
    <row r="483" spans="3:21" x14ac:dyDescent="0.25"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</row>
    <row r="484" spans="3:21" x14ac:dyDescent="0.25"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</row>
    <row r="485" spans="3:21" x14ac:dyDescent="0.25"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</row>
    <row r="486" spans="3:21" x14ac:dyDescent="0.25"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</row>
    <row r="487" spans="3:21" x14ac:dyDescent="0.25"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</row>
    <row r="488" spans="3:21" x14ac:dyDescent="0.25"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</row>
    <row r="489" spans="3:21" x14ac:dyDescent="0.25"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</row>
    <row r="490" spans="3:21" x14ac:dyDescent="0.25"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</row>
    <row r="491" spans="3:21" x14ac:dyDescent="0.25"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</row>
    <row r="492" spans="3:21" x14ac:dyDescent="0.25"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</row>
    <row r="493" spans="3:21" x14ac:dyDescent="0.25"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</row>
    <row r="494" spans="3:21" x14ac:dyDescent="0.25"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</row>
    <row r="495" spans="3:21" x14ac:dyDescent="0.25"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</row>
    <row r="496" spans="3:21" x14ac:dyDescent="0.25"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</row>
    <row r="497" spans="3:21" x14ac:dyDescent="0.25"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</row>
    <row r="498" spans="3:21" x14ac:dyDescent="0.25"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</row>
    <row r="499" spans="3:21" x14ac:dyDescent="0.25"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</row>
    <row r="500" spans="3:21" x14ac:dyDescent="0.25"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</row>
    <row r="501" spans="3:21" x14ac:dyDescent="0.25"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</row>
    <row r="502" spans="3:21" x14ac:dyDescent="0.25"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</row>
    <row r="503" spans="3:21" x14ac:dyDescent="0.25"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</row>
    <row r="504" spans="3:21" x14ac:dyDescent="0.25"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</row>
    <row r="505" spans="3:21" x14ac:dyDescent="0.25"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</row>
    <row r="506" spans="3:21" x14ac:dyDescent="0.25"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</row>
    <row r="507" spans="3:21" x14ac:dyDescent="0.25"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</row>
    <row r="508" spans="3:21" x14ac:dyDescent="0.25"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</row>
    <row r="509" spans="3:21" x14ac:dyDescent="0.25"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</row>
    <row r="510" spans="3:21" x14ac:dyDescent="0.25"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</row>
    <row r="511" spans="3:21" x14ac:dyDescent="0.25"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</row>
    <row r="512" spans="3:21" x14ac:dyDescent="0.25"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</row>
    <row r="513" spans="3:21" x14ac:dyDescent="0.25"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</row>
    <row r="514" spans="3:21" x14ac:dyDescent="0.25"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</row>
    <row r="515" spans="3:21" x14ac:dyDescent="0.25"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</row>
    <row r="516" spans="3:21" x14ac:dyDescent="0.25"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</row>
    <row r="517" spans="3:21" x14ac:dyDescent="0.25"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</row>
    <row r="518" spans="3:21" x14ac:dyDescent="0.25"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</row>
    <row r="519" spans="3:21" x14ac:dyDescent="0.25"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</row>
    <row r="520" spans="3:21" x14ac:dyDescent="0.25"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</row>
    <row r="521" spans="3:21" x14ac:dyDescent="0.25"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</row>
    <row r="522" spans="3:21" x14ac:dyDescent="0.25"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</row>
    <row r="523" spans="3:21" x14ac:dyDescent="0.25"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</row>
    <row r="524" spans="3:21" x14ac:dyDescent="0.25"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</row>
    <row r="525" spans="3:21" x14ac:dyDescent="0.25"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</row>
    <row r="526" spans="3:21" x14ac:dyDescent="0.25"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</row>
    <row r="527" spans="3:21" x14ac:dyDescent="0.25"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</row>
    <row r="528" spans="3:21" x14ac:dyDescent="0.25"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</row>
    <row r="529" spans="3:21" x14ac:dyDescent="0.25"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</row>
    <row r="530" spans="3:21" x14ac:dyDescent="0.25"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</row>
    <row r="531" spans="3:21" x14ac:dyDescent="0.25"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</row>
    <row r="532" spans="3:21" x14ac:dyDescent="0.25"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</row>
    <row r="533" spans="3:21" x14ac:dyDescent="0.25"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</row>
    <row r="534" spans="3:21" x14ac:dyDescent="0.25"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</row>
    <row r="535" spans="3:21" x14ac:dyDescent="0.25"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</row>
    <row r="536" spans="3:21" x14ac:dyDescent="0.25"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</row>
    <row r="537" spans="3:21" x14ac:dyDescent="0.25"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</row>
    <row r="538" spans="3:21" x14ac:dyDescent="0.25"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</row>
    <row r="539" spans="3:21" x14ac:dyDescent="0.25"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</row>
    <row r="540" spans="3:21" x14ac:dyDescent="0.25"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</row>
    <row r="541" spans="3:21" x14ac:dyDescent="0.25"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</row>
    <row r="542" spans="3:21" x14ac:dyDescent="0.25"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</row>
    <row r="543" spans="3:21" x14ac:dyDescent="0.25"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</row>
    <row r="544" spans="3:21" x14ac:dyDescent="0.25"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</row>
    <row r="545" spans="3:21" x14ac:dyDescent="0.25"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</row>
    <row r="546" spans="3:21" x14ac:dyDescent="0.25"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</row>
    <row r="547" spans="3:21" x14ac:dyDescent="0.25"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</row>
    <row r="548" spans="3:21" x14ac:dyDescent="0.25"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</row>
    <row r="549" spans="3:21" x14ac:dyDescent="0.25"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</row>
    <row r="550" spans="3:21" x14ac:dyDescent="0.25"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</row>
    <row r="551" spans="3:21" x14ac:dyDescent="0.25"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</row>
    <row r="552" spans="3:21" x14ac:dyDescent="0.25"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</row>
    <row r="553" spans="3:21" x14ac:dyDescent="0.25"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</row>
    <row r="554" spans="3:21" x14ac:dyDescent="0.25"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</row>
    <row r="555" spans="3:21" x14ac:dyDescent="0.25"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</row>
    <row r="556" spans="3:21" x14ac:dyDescent="0.25"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</row>
    <row r="557" spans="3:21" x14ac:dyDescent="0.25"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</row>
    <row r="558" spans="3:21" x14ac:dyDescent="0.25"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</row>
    <row r="559" spans="3:21" x14ac:dyDescent="0.25"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</row>
    <row r="560" spans="3:21" x14ac:dyDescent="0.25"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</row>
    <row r="561" spans="3:21" x14ac:dyDescent="0.25"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</row>
    <row r="562" spans="3:21" x14ac:dyDescent="0.25"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</row>
    <row r="563" spans="3:21" x14ac:dyDescent="0.25"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</row>
    <row r="564" spans="3:21" x14ac:dyDescent="0.25"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</row>
    <row r="565" spans="3:21" x14ac:dyDescent="0.25"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</row>
    <row r="566" spans="3:21" x14ac:dyDescent="0.25"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</row>
    <row r="567" spans="3:21" x14ac:dyDescent="0.25"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</row>
    <row r="568" spans="3:21" x14ac:dyDescent="0.25"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</row>
    <row r="569" spans="3:21" x14ac:dyDescent="0.25"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</row>
    <row r="570" spans="3:21" x14ac:dyDescent="0.25"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</row>
    <row r="571" spans="3:21" x14ac:dyDescent="0.25"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</row>
    <row r="572" spans="3:21" x14ac:dyDescent="0.25"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</row>
    <row r="573" spans="3:21" x14ac:dyDescent="0.25"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</row>
    <row r="574" spans="3:21" x14ac:dyDescent="0.25"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</row>
    <row r="575" spans="3:21" x14ac:dyDescent="0.25"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</row>
    <row r="576" spans="3:21" x14ac:dyDescent="0.25"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</row>
    <row r="577" spans="3:21" x14ac:dyDescent="0.25"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</row>
    <row r="578" spans="3:21" x14ac:dyDescent="0.25"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</row>
    <row r="579" spans="3:21" x14ac:dyDescent="0.25"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</row>
    <row r="580" spans="3:21" x14ac:dyDescent="0.25"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</row>
    <row r="581" spans="3:21" x14ac:dyDescent="0.25"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</row>
    <row r="582" spans="3:21" x14ac:dyDescent="0.25"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</row>
    <row r="583" spans="3:21" x14ac:dyDescent="0.25"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</row>
    <row r="584" spans="3:21" x14ac:dyDescent="0.25"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</row>
    <row r="585" spans="3:21" x14ac:dyDescent="0.25"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</row>
    <row r="586" spans="3:21" x14ac:dyDescent="0.25"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</row>
    <row r="587" spans="3:21" x14ac:dyDescent="0.25"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</row>
    <row r="588" spans="3:21" x14ac:dyDescent="0.25"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</row>
    <row r="589" spans="3:21" x14ac:dyDescent="0.25"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</row>
    <row r="590" spans="3:21" x14ac:dyDescent="0.25"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</row>
    <row r="591" spans="3:21" x14ac:dyDescent="0.25"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</row>
    <row r="592" spans="3:21" x14ac:dyDescent="0.25"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</row>
    <row r="593" spans="3:21" x14ac:dyDescent="0.25"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</row>
    <row r="594" spans="3:21" x14ac:dyDescent="0.25"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</row>
    <row r="595" spans="3:21" x14ac:dyDescent="0.25"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</row>
    <row r="596" spans="3:21" x14ac:dyDescent="0.25"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</row>
    <row r="597" spans="3:21" x14ac:dyDescent="0.25"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</row>
    <row r="598" spans="3:21" x14ac:dyDescent="0.25"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</row>
    <row r="599" spans="3:21" x14ac:dyDescent="0.25"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</row>
    <row r="600" spans="3:21" x14ac:dyDescent="0.25"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</row>
    <row r="601" spans="3:21" x14ac:dyDescent="0.25"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</row>
    <row r="602" spans="3:21" x14ac:dyDescent="0.25"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</row>
    <row r="603" spans="3:21" x14ac:dyDescent="0.25"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</row>
    <row r="604" spans="3:21" x14ac:dyDescent="0.25"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</row>
    <row r="605" spans="3:21" x14ac:dyDescent="0.25"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</row>
    <row r="606" spans="3:21" x14ac:dyDescent="0.25"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</row>
    <row r="607" spans="3:21" x14ac:dyDescent="0.25"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</row>
    <row r="608" spans="3:21" x14ac:dyDescent="0.25"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</row>
    <row r="609" spans="3:21" x14ac:dyDescent="0.25"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</row>
    <row r="610" spans="3:21" x14ac:dyDescent="0.25"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</row>
    <row r="611" spans="3:21" x14ac:dyDescent="0.25"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</row>
    <row r="612" spans="3:21" x14ac:dyDescent="0.25"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</row>
    <row r="613" spans="3:21" x14ac:dyDescent="0.25"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</row>
    <row r="614" spans="3:21" x14ac:dyDescent="0.25"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</row>
    <row r="615" spans="3:21" x14ac:dyDescent="0.25"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</row>
    <row r="616" spans="3:21" x14ac:dyDescent="0.25"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</row>
    <row r="617" spans="3:21" x14ac:dyDescent="0.25"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</row>
    <row r="618" spans="3:21" x14ac:dyDescent="0.25"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  <c r="U618" s="8"/>
    </row>
    <row r="619" spans="3:21" x14ac:dyDescent="0.25"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</row>
    <row r="620" spans="3:21" x14ac:dyDescent="0.25"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</row>
    <row r="621" spans="3:21" x14ac:dyDescent="0.25"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</row>
    <row r="622" spans="3:21" x14ac:dyDescent="0.25"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</row>
    <row r="623" spans="3:21" x14ac:dyDescent="0.25"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</row>
    <row r="624" spans="3:21" x14ac:dyDescent="0.25"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</row>
    <row r="625" spans="3:21" x14ac:dyDescent="0.25"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</row>
    <row r="626" spans="3:21" x14ac:dyDescent="0.25"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</row>
    <row r="627" spans="3:21" x14ac:dyDescent="0.25"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</row>
    <row r="628" spans="3:21" x14ac:dyDescent="0.25"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</row>
    <row r="629" spans="3:21" x14ac:dyDescent="0.25"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</row>
    <row r="630" spans="3:21" x14ac:dyDescent="0.25"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</row>
    <row r="631" spans="3:21" x14ac:dyDescent="0.25"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</row>
    <row r="632" spans="3:21" x14ac:dyDescent="0.25"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</row>
    <row r="633" spans="3:21" x14ac:dyDescent="0.25"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</row>
    <row r="634" spans="3:21" x14ac:dyDescent="0.25"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</row>
    <row r="635" spans="3:21" x14ac:dyDescent="0.25"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</row>
    <row r="636" spans="3:21" x14ac:dyDescent="0.25"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</row>
    <row r="637" spans="3:21" x14ac:dyDescent="0.25"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</row>
    <row r="638" spans="3:21" x14ac:dyDescent="0.25"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</row>
    <row r="639" spans="3:21" x14ac:dyDescent="0.25"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</row>
    <row r="640" spans="3:21" x14ac:dyDescent="0.25"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</row>
    <row r="641" spans="3:21" x14ac:dyDescent="0.25"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</row>
    <row r="642" spans="3:21" x14ac:dyDescent="0.25"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</row>
    <row r="643" spans="3:21" x14ac:dyDescent="0.25"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</row>
    <row r="644" spans="3:21" x14ac:dyDescent="0.25"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</row>
    <row r="645" spans="3:21" x14ac:dyDescent="0.25"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</row>
    <row r="646" spans="3:21" x14ac:dyDescent="0.25"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</row>
    <row r="647" spans="3:21" x14ac:dyDescent="0.25"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</row>
    <row r="648" spans="3:21" x14ac:dyDescent="0.25"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</row>
    <row r="649" spans="3:21" x14ac:dyDescent="0.25"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</row>
    <row r="650" spans="3:21" x14ac:dyDescent="0.25"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</row>
    <row r="651" spans="3:21" x14ac:dyDescent="0.25"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</row>
    <row r="652" spans="3:21" x14ac:dyDescent="0.25"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</row>
    <row r="653" spans="3:21" x14ac:dyDescent="0.25"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</row>
    <row r="654" spans="3:21" x14ac:dyDescent="0.25"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</row>
    <row r="655" spans="3:21" x14ac:dyDescent="0.25"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</row>
    <row r="656" spans="3:21" x14ac:dyDescent="0.25"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</row>
    <row r="657" spans="3:21" x14ac:dyDescent="0.25"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</row>
    <row r="658" spans="3:21" x14ac:dyDescent="0.25"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</row>
    <row r="659" spans="3:21" x14ac:dyDescent="0.25"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  <c r="U659" s="8"/>
    </row>
    <row r="660" spans="3:21" x14ac:dyDescent="0.25"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</row>
    <row r="661" spans="3:21" x14ac:dyDescent="0.25"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</row>
    <row r="662" spans="3:21" x14ac:dyDescent="0.25"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</row>
    <row r="663" spans="3:21" x14ac:dyDescent="0.25"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</row>
    <row r="664" spans="3:21" x14ac:dyDescent="0.25"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</row>
    <row r="665" spans="3:21" x14ac:dyDescent="0.25"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</row>
    <row r="666" spans="3:21" x14ac:dyDescent="0.25"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</row>
    <row r="667" spans="3:21" x14ac:dyDescent="0.25"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</row>
    <row r="668" spans="3:21" x14ac:dyDescent="0.25"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</row>
    <row r="669" spans="3:21" x14ac:dyDescent="0.25"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</row>
    <row r="670" spans="3:21" x14ac:dyDescent="0.25"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</row>
    <row r="671" spans="3:21" x14ac:dyDescent="0.25"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</row>
    <row r="672" spans="3:21" x14ac:dyDescent="0.25"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</row>
    <row r="673" spans="3:21" x14ac:dyDescent="0.25"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  <c r="U673" s="8"/>
    </row>
    <row r="674" spans="3:21" x14ac:dyDescent="0.25"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</row>
    <row r="675" spans="3:21" x14ac:dyDescent="0.25"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</row>
    <row r="676" spans="3:21" x14ac:dyDescent="0.25"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</row>
    <row r="677" spans="3:21" x14ac:dyDescent="0.25"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</row>
    <row r="678" spans="3:21" x14ac:dyDescent="0.25"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</row>
    <row r="679" spans="3:21" x14ac:dyDescent="0.25"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</row>
    <row r="680" spans="3:21" x14ac:dyDescent="0.25"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</row>
    <row r="681" spans="3:21" x14ac:dyDescent="0.25"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</row>
    <row r="682" spans="3:21" x14ac:dyDescent="0.25"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</row>
    <row r="683" spans="3:21" x14ac:dyDescent="0.25"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</row>
    <row r="684" spans="3:21" x14ac:dyDescent="0.25"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</row>
    <row r="685" spans="3:21" x14ac:dyDescent="0.25"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</row>
    <row r="686" spans="3:21" x14ac:dyDescent="0.25"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</row>
    <row r="687" spans="3:21" x14ac:dyDescent="0.25"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</row>
    <row r="688" spans="3:21" x14ac:dyDescent="0.25"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</row>
    <row r="689" spans="3:21" x14ac:dyDescent="0.25"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</row>
    <row r="690" spans="3:21" x14ac:dyDescent="0.25"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</row>
    <row r="691" spans="3:21" x14ac:dyDescent="0.25"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</row>
    <row r="692" spans="3:21" x14ac:dyDescent="0.25"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</row>
    <row r="693" spans="3:21" x14ac:dyDescent="0.25"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</row>
    <row r="694" spans="3:21" x14ac:dyDescent="0.25"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</row>
    <row r="695" spans="3:21" x14ac:dyDescent="0.25"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</row>
    <row r="696" spans="3:21" x14ac:dyDescent="0.25"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</row>
    <row r="697" spans="3:21" x14ac:dyDescent="0.25"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</row>
    <row r="698" spans="3:21" x14ac:dyDescent="0.25"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</row>
    <row r="699" spans="3:21" x14ac:dyDescent="0.25"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</row>
    <row r="700" spans="3:21" x14ac:dyDescent="0.25"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</row>
    <row r="701" spans="3:21" x14ac:dyDescent="0.25"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</row>
    <row r="702" spans="3:21" x14ac:dyDescent="0.25"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</row>
    <row r="703" spans="3:21" x14ac:dyDescent="0.25"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</row>
    <row r="704" spans="3:21" x14ac:dyDescent="0.25"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</row>
    <row r="705" spans="3:21" x14ac:dyDescent="0.25"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</row>
    <row r="706" spans="3:21" x14ac:dyDescent="0.25"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</row>
    <row r="707" spans="3:21" x14ac:dyDescent="0.25"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</row>
    <row r="708" spans="3:21" x14ac:dyDescent="0.25"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</row>
    <row r="709" spans="3:21" x14ac:dyDescent="0.25"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"/>
      <c r="U709" s="8"/>
    </row>
    <row r="710" spans="3:21" x14ac:dyDescent="0.25"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"/>
      <c r="U710" s="8"/>
    </row>
    <row r="711" spans="3:21" x14ac:dyDescent="0.25"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  <c r="U711" s="8"/>
    </row>
    <row r="712" spans="3:21" x14ac:dyDescent="0.25"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</row>
    <row r="713" spans="3:21" x14ac:dyDescent="0.25"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/>
      <c r="U713" s="8"/>
    </row>
    <row r="714" spans="3:21" x14ac:dyDescent="0.25"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</row>
    <row r="715" spans="3:21" x14ac:dyDescent="0.25"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"/>
      <c r="U715" s="8"/>
    </row>
    <row r="716" spans="3:21" x14ac:dyDescent="0.25"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</row>
    <row r="717" spans="3:21" x14ac:dyDescent="0.25"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  <c r="U717" s="8"/>
    </row>
    <row r="718" spans="3:21" x14ac:dyDescent="0.25"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  <c r="U718" s="8"/>
    </row>
    <row r="719" spans="3:21" x14ac:dyDescent="0.25"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"/>
      <c r="U719" s="8"/>
    </row>
    <row r="720" spans="3:21" x14ac:dyDescent="0.25"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</row>
    <row r="721" spans="3:21" x14ac:dyDescent="0.25"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  <c r="U721" s="8"/>
    </row>
    <row r="722" spans="3:21" x14ac:dyDescent="0.25"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</row>
    <row r="723" spans="3:21" x14ac:dyDescent="0.25"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  <c r="U723" s="8"/>
    </row>
    <row r="724" spans="3:21" x14ac:dyDescent="0.25"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</row>
    <row r="725" spans="3:21" x14ac:dyDescent="0.25"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  <c r="U725" s="8"/>
    </row>
    <row r="726" spans="3:21" x14ac:dyDescent="0.25"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</row>
    <row r="727" spans="3:21" x14ac:dyDescent="0.25"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  <c r="U727" s="8"/>
    </row>
    <row r="728" spans="3:21" x14ac:dyDescent="0.25"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</row>
    <row r="729" spans="3:21" x14ac:dyDescent="0.25"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"/>
      <c r="U729" s="8"/>
    </row>
    <row r="730" spans="3:21" x14ac:dyDescent="0.25"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  <c r="U730" s="8"/>
    </row>
    <row r="731" spans="3:21" x14ac:dyDescent="0.25"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</row>
    <row r="732" spans="3:21" x14ac:dyDescent="0.25"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</row>
    <row r="733" spans="3:21" x14ac:dyDescent="0.25"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</row>
    <row r="734" spans="3:21" x14ac:dyDescent="0.25"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  <c r="U734" s="8"/>
    </row>
    <row r="735" spans="3:21" x14ac:dyDescent="0.25"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  <c r="U735" s="8"/>
    </row>
    <row r="736" spans="3:21" x14ac:dyDescent="0.25"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</row>
    <row r="737" spans="3:21" x14ac:dyDescent="0.25"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  <c r="U737" s="8"/>
    </row>
    <row r="738" spans="3:21" x14ac:dyDescent="0.25"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  <c r="U738" s="8"/>
    </row>
    <row r="739" spans="3:21" x14ac:dyDescent="0.25"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  <c r="U739" s="8"/>
    </row>
    <row r="740" spans="3:21" x14ac:dyDescent="0.25"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</row>
    <row r="741" spans="3:21" x14ac:dyDescent="0.25"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"/>
      <c r="U741" s="8"/>
    </row>
    <row r="742" spans="3:21" x14ac:dyDescent="0.25"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</row>
    <row r="743" spans="3:21" x14ac:dyDescent="0.25"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</row>
    <row r="744" spans="3:21" x14ac:dyDescent="0.25"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</row>
    <row r="745" spans="3:21" x14ac:dyDescent="0.25"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/>
    </row>
    <row r="746" spans="3:21" x14ac:dyDescent="0.25"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</row>
    <row r="747" spans="3:21" x14ac:dyDescent="0.25"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  <c r="U747" s="8"/>
    </row>
    <row r="748" spans="3:21" x14ac:dyDescent="0.25"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</row>
    <row r="749" spans="3:21" x14ac:dyDescent="0.25"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  <c r="U749" s="8"/>
    </row>
    <row r="750" spans="3:21" x14ac:dyDescent="0.25"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  <c r="U750" s="8"/>
    </row>
    <row r="751" spans="3:21" x14ac:dyDescent="0.25"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</row>
    <row r="752" spans="3:21" x14ac:dyDescent="0.25"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</row>
    <row r="753" spans="3:21" x14ac:dyDescent="0.25"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</row>
    <row r="754" spans="3:21" x14ac:dyDescent="0.25"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</row>
    <row r="755" spans="3:21" x14ac:dyDescent="0.25"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</row>
    <row r="756" spans="3:21" x14ac:dyDescent="0.25"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</row>
    <row r="757" spans="3:21" x14ac:dyDescent="0.25"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</row>
    <row r="758" spans="3:21" x14ac:dyDescent="0.25"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</row>
    <row r="759" spans="3:21" x14ac:dyDescent="0.25"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</row>
    <row r="760" spans="3:21" x14ac:dyDescent="0.25"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</row>
    <row r="761" spans="3:21" x14ac:dyDescent="0.25"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</row>
    <row r="762" spans="3:21" x14ac:dyDescent="0.25"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</row>
    <row r="763" spans="3:21" x14ac:dyDescent="0.25"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</row>
    <row r="764" spans="3:21" x14ac:dyDescent="0.25"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</row>
    <row r="765" spans="3:21" x14ac:dyDescent="0.25"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</row>
    <row r="766" spans="3:21" x14ac:dyDescent="0.25"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</row>
    <row r="767" spans="3:21" x14ac:dyDescent="0.25"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</row>
    <row r="768" spans="3:21" x14ac:dyDescent="0.25"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</row>
    <row r="769" spans="3:21" x14ac:dyDescent="0.25"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</row>
    <row r="770" spans="3:21" x14ac:dyDescent="0.25"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</row>
    <row r="771" spans="3:21" x14ac:dyDescent="0.25"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</row>
    <row r="772" spans="3:21" x14ac:dyDescent="0.25"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</row>
    <row r="773" spans="3:21" x14ac:dyDescent="0.25"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</row>
    <row r="774" spans="3:21" x14ac:dyDescent="0.25"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</row>
    <row r="775" spans="3:21" x14ac:dyDescent="0.25"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</row>
    <row r="776" spans="3:21" x14ac:dyDescent="0.25"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</row>
    <row r="777" spans="3:21" x14ac:dyDescent="0.25"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</row>
    <row r="778" spans="3:21" x14ac:dyDescent="0.25"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</row>
    <row r="779" spans="3:21" x14ac:dyDescent="0.25"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</row>
    <row r="780" spans="3:21" x14ac:dyDescent="0.25"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</row>
    <row r="781" spans="3:21" x14ac:dyDescent="0.25"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</row>
    <row r="782" spans="3:21" x14ac:dyDescent="0.25"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</row>
    <row r="783" spans="3:21" x14ac:dyDescent="0.25"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</row>
    <row r="784" spans="3:21" x14ac:dyDescent="0.25"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</row>
    <row r="785" spans="3:21" x14ac:dyDescent="0.25"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</row>
    <row r="786" spans="3:21" x14ac:dyDescent="0.25"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</row>
    <row r="787" spans="3:21" x14ac:dyDescent="0.25"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</row>
    <row r="788" spans="3:21" x14ac:dyDescent="0.25"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</row>
    <row r="789" spans="3:21" x14ac:dyDescent="0.25"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</row>
    <row r="790" spans="3:21" x14ac:dyDescent="0.25"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</row>
    <row r="791" spans="3:21" x14ac:dyDescent="0.25"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</row>
    <row r="792" spans="3:21" x14ac:dyDescent="0.25"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</row>
    <row r="793" spans="3:21" x14ac:dyDescent="0.25"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</row>
    <row r="794" spans="3:21" x14ac:dyDescent="0.25"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</row>
    <row r="795" spans="3:21" x14ac:dyDescent="0.25"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</row>
    <row r="796" spans="3:21" x14ac:dyDescent="0.25"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</row>
    <row r="797" spans="3:21" x14ac:dyDescent="0.25"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</row>
    <row r="798" spans="3:21" x14ac:dyDescent="0.25"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</row>
    <row r="799" spans="3:21" x14ac:dyDescent="0.25"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</row>
    <row r="800" spans="3:21" x14ac:dyDescent="0.25"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</row>
    <row r="801" spans="3:21" x14ac:dyDescent="0.25"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</row>
    <row r="802" spans="3:21" x14ac:dyDescent="0.25"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</row>
    <row r="803" spans="3:21" x14ac:dyDescent="0.25"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</row>
    <row r="804" spans="3:21" x14ac:dyDescent="0.25"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</row>
    <row r="805" spans="3:21" x14ac:dyDescent="0.25"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</row>
    <row r="806" spans="3:21" x14ac:dyDescent="0.25"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</row>
    <row r="807" spans="3:21" x14ac:dyDescent="0.25"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</row>
    <row r="808" spans="3:21" x14ac:dyDescent="0.25"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</row>
    <row r="809" spans="3:21" x14ac:dyDescent="0.25"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</row>
    <row r="810" spans="3:21" x14ac:dyDescent="0.25"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</row>
    <row r="811" spans="3:21" x14ac:dyDescent="0.25"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</row>
    <row r="812" spans="3:21" x14ac:dyDescent="0.25"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</row>
    <row r="813" spans="3:21" x14ac:dyDescent="0.25"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</row>
    <row r="814" spans="3:21" x14ac:dyDescent="0.25"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</row>
    <row r="815" spans="3:21" x14ac:dyDescent="0.25"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</row>
    <row r="816" spans="3:21" x14ac:dyDescent="0.25"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</row>
    <row r="817" spans="3:21" x14ac:dyDescent="0.25"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</row>
    <row r="818" spans="3:21" x14ac:dyDescent="0.25"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</row>
    <row r="819" spans="3:21" x14ac:dyDescent="0.25"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</row>
    <row r="820" spans="3:21" x14ac:dyDescent="0.25"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</row>
    <row r="821" spans="3:21" x14ac:dyDescent="0.25"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</row>
    <row r="822" spans="3:21" x14ac:dyDescent="0.25"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</row>
    <row r="823" spans="3:21" x14ac:dyDescent="0.25"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</row>
    <row r="824" spans="3:21" x14ac:dyDescent="0.25"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</row>
    <row r="825" spans="3:21" x14ac:dyDescent="0.25"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</row>
    <row r="826" spans="3:21" x14ac:dyDescent="0.25"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</row>
    <row r="827" spans="3:21" x14ac:dyDescent="0.25"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</row>
    <row r="828" spans="3:21" x14ac:dyDescent="0.25"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</row>
    <row r="829" spans="3:21" x14ac:dyDescent="0.25"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</row>
    <row r="830" spans="3:21" x14ac:dyDescent="0.25"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</row>
    <row r="831" spans="3:21" x14ac:dyDescent="0.25"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</row>
    <row r="832" spans="3:21" x14ac:dyDescent="0.25"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</row>
    <row r="833" spans="3:21" x14ac:dyDescent="0.25"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</row>
    <row r="834" spans="3:21" x14ac:dyDescent="0.25"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</row>
    <row r="835" spans="3:21" x14ac:dyDescent="0.25"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</row>
    <row r="836" spans="3:21" x14ac:dyDescent="0.25"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</row>
    <row r="837" spans="3:21" x14ac:dyDescent="0.25"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</row>
    <row r="838" spans="3:21" x14ac:dyDescent="0.25"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</row>
    <row r="839" spans="3:21" x14ac:dyDescent="0.25"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</row>
    <row r="840" spans="3:21" x14ac:dyDescent="0.25"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</row>
    <row r="841" spans="3:21" x14ac:dyDescent="0.25"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</row>
    <row r="842" spans="3:21" x14ac:dyDescent="0.25"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</row>
    <row r="843" spans="3:21" x14ac:dyDescent="0.25"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</row>
    <row r="844" spans="3:21" x14ac:dyDescent="0.25"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</row>
    <row r="845" spans="3:21" x14ac:dyDescent="0.25"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</row>
    <row r="846" spans="3:21" x14ac:dyDescent="0.25"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</row>
    <row r="847" spans="3:21" x14ac:dyDescent="0.25"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</row>
    <row r="848" spans="3:21" x14ac:dyDescent="0.25"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</row>
    <row r="849" spans="3:21" x14ac:dyDescent="0.25"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</row>
    <row r="850" spans="3:21" x14ac:dyDescent="0.25"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</row>
    <row r="851" spans="3:21" x14ac:dyDescent="0.25"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</row>
    <row r="852" spans="3:21" x14ac:dyDescent="0.25"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</row>
    <row r="853" spans="3:21" x14ac:dyDescent="0.25"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</row>
    <row r="854" spans="3:21" x14ac:dyDescent="0.25"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</row>
    <row r="855" spans="3:21" x14ac:dyDescent="0.25"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</row>
    <row r="856" spans="3:21" x14ac:dyDescent="0.25"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</row>
    <row r="857" spans="3:21" x14ac:dyDescent="0.25"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</row>
    <row r="858" spans="3:21" x14ac:dyDescent="0.25"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</row>
    <row r="859" spans="3:21" x14ac:dyDescent="0.25"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</row>
    <row r="860" spans="3:21" x14ac:dyDescent="0.25"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</row>
    <row r="861" spans="3:21" x14ac:dyDescent="0.25"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</row>
    <row r="862" spans="3:21" x14ac:dyDescent="0.25"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</row>
    <row r="863" spans="3:21" x14ac:dyDescent="0.25"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</row>
    <row r="864" spans="3:21" x14ac:dyDescent="0.25"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</row>
    <row r="865" spans="3:21" x14ac:dyDescent="0.25"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</row>
    <row r="866" spans="3:21" x14ac:dyDescent="0.25"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</row>
    <row r="867" spans="3:21" x14ac:dyDescent="0.25"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</row>
    <row r="868" spans="3:21" x14ac:dyDescent="0.25"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</row>
    <row r="869" spans="3:21" x14ac:dyDescent="0.25"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</row>
    <row r="870" spans="3:21" x14ac:dyDescent="0.25"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</row>
    <row r="871" spans="3:21" x14ac:dyDescent="0.25"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</row>
    <row r="872" spans="3:21" x14ac:dyDescent="0.25"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</row>
    <row r="873" spans="3:21" x14ac:dyDescent="0.25"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</row>
    <row r="874" spans="3:21" x14ac:dyDescent="0.25"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</row>
    <row r="875" spans="3:21" x14ac:dyDescent="0.25"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</row>
    <row r="876" spans="3:21" x14ac:dyDescent="0.25"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</row>
    <row r="877" spans="3:21" x14ac:dyDescent="0.25"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</row>
    <row r="878" spans="3:21" x14ac:dyDescent="0.25"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</row>
    <row r="879" spans="3:21" x14ac:dyDescent="0.25"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</row>
    <row r="880" spans="3:21" x14ac:dyDescent="0.25"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</row>
    <row r="881" spans="3:21" x14ac:dyDescent="0.25"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</row>
    <row r="882" spans="3:21" x14ac:dyDescent="0.25"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</row>
    <row r="883" spans="3:21" x14ac:dyDescent="0.25"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</row>
    <row r="884" spans="3:21" x14ac:dyDescent="0.25"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</row>
    <row r="885" spans="3:21" x14ac:dyDescent="0.25"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</row>
    <row r="886" spans="3:21" x14ac:dyDescent="0.25"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</row>
    <row r="887" spans="3:21" x14ac:dyDescent="0.25"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</row>
    <row r="888" spans="3:21" x14ac:dyDescent="0.25"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</row>
    <row r="889" spans="3:21" x14ac:dyDescent="0.25"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</row>
    <row r="890" spans="3:21" x14ac:dyDescent="0.25"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</row>
    <row r="891" spans="3:21" x14ac:dyDescent="0.25"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</row>
    <row r="892" spans="3:21" x14ac:dyDescent="0.25"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</row>
    <row r="893" spans="3:21" x14ac:dyDescent="0.25"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</row>
    <row r="894" spans="3:21" x14ac:dyDescent="0.25"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</row>
    <row r="895" spans="3:21" x14ac:dyDescent="0.25"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</row>
    <row r="896" spans="3:21" x14ac:dyDescent="0.25"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</row>
    <row r="897" spans="3:21" x14ac:dyDescent="0.25"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</row>
    <row r="898" spans="3:21" x14ac:dyDescent="0.25"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</row>
    <row r="899" spans="3:21" x14ac:dyDescent="0.25"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</row>
    <row r="900" spans="3:21" x14ac:dyDescent="0.25"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</row>
    <row r="901" spans="3:21" x14ac:dyDescent="0.25"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</row>
    <row r="902" spans="3:21" x14ac:dyDescent="0.25"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</row>
    <row r="903" spans="3:21" x14ac:dyDescent="0.25"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</row>
    <row r="904" spans="3:21" x14ac:dyDescent="0.25"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</row>
    <row r="905" spans="3:21" x14ac:dyDescent="0.25"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</row>
    <row r="906" spans="3:21" x14ac:dyDescent="0.25"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</row>
    <row r="907" spans="3:21" x14ac:dyDescent="0.25"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</row>
    <row r="908" spans="3:21" x14ac:dyDescent="0.25"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</row>
    <row r="909" spans="3:21" x14ac:dyDescent="0.25"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</row>
    <row r="910" spans="3:21" x14ac:dyDescent="0.25"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</row>
    <row r="911" spans="3:21" x14ac:dyDescent="0.25"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</row>
    <row r="912" spans="3:21" x14ac:dyDescent="0.25"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</row>
    <row r="913" spans="3:21" x14ac:dyDescent="0.25"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</row>
    <row r="914" spans="3:21" x14ac:dyDescent="0.25"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</row>
    <row r="915" spans="3:21" x14ac:dyDescent="0.25"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</row>
    <row r="916" spans="3:21" x14ac:dyDescent="0.25"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</row>
    <row r="917" spans="3:21" x14ac:dyDescent="0.25"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</row>
    <row r="918" spans="3:21" x14ac:dyDescent="0.25"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</row>
    <row r="919" spans="3:21" x14ac:dyDescent="0.25"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</row>
    <row r="920" spans="3:21" x14ac:dyDescent="0.25"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</row>
    <row r="921" spans="3:21" x14ac:dyDescent="0.25"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</row>
    <row r="922" spans="3:21" x14ac:dyDescent="0.25"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</row>
    <row r="923" spans="3:21" x14ac:dyDescent="0.25"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</row>
    <row r="924" spans="3:21" x14ac:dyDescent="0.25"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</row>
    <row r="925" spans="3:21" x14ac:dyDescent="0.25"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</row>
    <row r="926" spans="3:21" x14ac:dyDescent="0.25"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</row>
    <row r="927" spans="3:21" x14ac:dyDescent="0.25"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</row>
    <row r="928" spans="3:21" x14ac:dyDescent="0.25"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</row>
    <row r="929" spans="3:21" x14ac:dyDescent="0.25"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</row>
    <row r="930" spans="3:21" x14ac:dyDescent="0.25"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</row>
    <row r="931" spans="3:21" x14ac:dyDescent="0.25"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</row>
    <row r="932" spans="3:21" x14ac:dyDescent="0.25"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</row>
    <row r="933" spans="3:21" x14ac:dyDescent="0.25"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</row>
    <row r="934" spans="3:21" x14ac:dyDescent="0.25"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</row>
    <row r="935" spans="3:21" x14ac:dyDescent="0.25"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"/>
      <c r="U935" s="8"/>
    </row>
    <row r="936" spans="3:21" x14ac:dyDescent="0.25"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  <c r="U936" s="8"/>
    </row>
    <row r="937" spans="3:21" x14ac:dyDescent="0.25"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"/>
      <c r="U937" s="8"/>
    </row>
    <row r="938" spans="3:21" x14ac:dyDescent="0.25"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"/>
      <c r="U938" s="8"/>
    </row>
    <row r="939" spans="3:21" x14ac:dyDescent="0.25"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"/>
      <c r="U939" s="8"/>
    </row>
    <row r="940" spans="3:21" x14ac:dyDescent="0.25"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  <c r="U940" s="8"/>
    </row>
    <row r="941" spans="3:21" x14ac:dyDescent="0.25"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"/>
      <c r="U941" s="8"/>
    </row>
    <row r="942" spans="3:21" x14ac:dyDescent="0.25"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"/>
      <c r="U942" s="8"/>
    </row>
    <row r="943" spans="3:21" x14ac:dyDescent="0.25"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"/>
      <c r="U943" s="8"/>
    </row>
    <row r="944" spans="3:21" x14ac:dyDescent="0.25"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  <c r="U944" s="8"/>
    </row>
    <row r="945" spans="3:21" x14ac:dyDescent="0.25"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"/>
      <c r="U945" s="8"/>
    </row>
    <row r="946" spans="3:21" x14ac:dyDescent="0.25"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"/>
      <c r="U946" s="8"/>
    </row>
    <row r="947" spans="3:21" x14ac:dyDescent="0.25"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"/>
      <c r="U947" s="8"/>
    </row>
    <row r="948" spans="3:21" x14ac:dyDescent="0.25"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"/>
      <c r="U948" s="8"/>
    </row>
    <row r="949" spans="3:21" x14ac:dyDescent="0.25"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"/>
      <c r="U949" s="8"/>
    </row>
    <row r="950" spans="3:21" x14ac:dyDescent="0.25"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"/>
      <c r="U950" s="8"/>
    </row>
    <row r="951" spans="3:21" x14ac:dyDescent="0.25"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"/>
      <c r="U951" s="8"/>
    </row>
    <row r="952" spans="3:21" x14ac:dyDescent="0.25"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"/>
      <c r="U952" s="8"/>
    </row>
    <row r="953" spans="3:21" x14ac:dyDescent="0.25"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"/>
      <c r="U953" s="8"/>
    </row>
    <row r="954" spans="3:21" x14ac:dyDescent="0.25"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"/>
      <c r="U954" s="8"/>
    </row>
    <row r="955" spans="3:21" x14ac:dyDescent="0.25"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"/>
      <c r="U955" s="8"/>
    </row>
    <row r="956" spans="3:21" x14ac:dyDescent="0.25"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"/>
      <c r="U956" s="8"/>
    </row>
    <row r="957" spans="3:21" x14ac:dyDescent="0.25"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"/>
      <c r="U957" s="8"/>
    </row>
    <row r="958" spans="3:21" x14ac:dyDescent="0.25"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"/>
      <c r="U958" s="8"/>
    </row>
    <row r="959" spans="3:21" x14ac:dyDescent="0.25"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"/>
      <c r="U959" s="8"/>
    </row>
    <row r="960" spans="3:21" x14ac:dyDescent="0.25"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"/>
      <c r="U960" s="8"/>
    </row>
    <row r="961" spans="3:21" x14ac:dyDescent="0.25"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"/>
      <c r="U961" s="8"/>
    </row>
    <row r="962" spans="3:21" x14ac:dyDescent="0.25"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"/>
      <c r="U962" s="8"/>
    </row>
    <row r="963" spans="3:21" x14ac:dyDescent="0.25"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"/>
      <c r="U963" s="8"/>
    </row>
    <row r="964" spans="3:21" x14ac:dyDescent="0.25"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"/>
      <c r="U964" s="8"/>
    </row>
    <row r="965" spans="3:21" x14ac:dyDescent="0.25"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"/>
      <c r="U965" s="8"/>
    </row>
    <row r="966" spans="3:21" x14ac:dyDescent="0.25"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"/>
      <c r="U966" s="8"/>
    </row>
    <row r="967" spans="3:21" x14ac:dyDescent="0.25"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"/>
      <c r="U967" s="8"/>
    </row>
    <row r="968" spans="3:21" x14ac:dyDescent="0.25"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"/>
      <c r="U968" s="8"/>
    </row>
    <row r="969" spans="3:21" x14ac:dyDescent="0.25"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"/>
      <c r="U969" s="8"/>
    </row>
    <row r="970" spans="3:21" x14ac:dyDescent="0.25"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"/>
      <c r="U970" s="8"/>
    </row>
    <row r="971" spans="3:21" x14ac:dyDescent="0.25"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"/>
      <c r="U971" s="8"/>
    </row>
    <row r="972" spans="3:21" x14ac:dyDescent="0.25"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"/>
      <c r="U972" s="8"/>
    </row>
    <row r="973" spans="3:21" x14ac:dyDescent="0.25"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"/>
      <c r="U973" s="8"/>
    </row>
    <row r="974" spans="3:21" x14ac:dyDescent="0.25"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"/>
      <c r="U974" s="8"/>
    </row>
    <row r="975" spans="3:21" x14ac:dyDescent="0.25"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"/>
      <c r="U975" s="8"/>
    </row>
    <row r="976" spans="3:21" x14ac:dyDescent="0.25"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"/>
      <c r="U976" s="8"/>
    </row>
    <row r="977" spans="3:21" x14ac:dyDescent="0.25"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"/>
      <c r="U977" s="8"/>
    </row>
    <row r="978" spans="3:21" x14ac:dyDescent="0.25"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"/>
      <c r="U978" s="8"/>
    </row>
    <row r="979" spans="3:21" x14ac:dyDescent="0.25"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"/>
      <c r="U979" s="8"/>
    </row>
    <row r="980" spans="3:21" x14ac:dyDescent="0.25"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"/>
      <c r="U980" s="8"/>
    </row>
    <row r="981" spans="3:21" x14ac:dyDescent="0.25"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"/>
      <c r="U981" s="8"/>
    </row>
    <row r="982" spans="3:21" x14ac:dyDescent="0.25"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"/>
      <c r="U982" s="8"/>
    </row>
    <row r="983" spans="3:21" x14ac:dyDescent="0.25"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"/>
      <c r="U983" s="8"/>
    </row>
    <row r="984" spans="3:21" x14ac:dyDescent="0.25"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"/>
      <c r="U984" s="8"/>
    </row>
    <row r="985" spans="3:21" x14ac:dyDescent="0.25"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"/>
      <c r="U985" s="8"/>
    </row>
    <row r="986" spans="3:21" x14ac:dyDescent="0.25"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"/>
      <c r="U986" s="8"/>
    </row>
    <row r="987" spans="3:21" x14ac:dyDescent="0.25"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"/>
      <c r="U987" s="8"/>
    </row>
    <row r="988" spans="3:21" x14ac:dyDescent="0.25"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"/>
      <c r="U988" s="8"/>
    </row>
    <row r="989" spans="3:21" x14ac:dyDescent="0.25"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"/>
      <c r="U989" s="8"/>
    </row>
    <row r="990" spans="3:21" x14ac:dyDescent="0.25"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"/>
      <c r="U990" s="8"/>
    </row>
    <row r="991" spans="3:21" x14ac:dyDescent="0.25"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"/>
      <c r="U991" s="8"/>
    </row>
    <row r="992" spans="3:21" x14ac:dyDescent="0.25"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  <c r="U992" s="8"/>
    </row>
    <row r="993" spans="3:21" x14ac:dyDescent="0.25"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"/>
      <c r="U993" s="8"/>
    </row>
    <row r="994" spans="3:21" x14ac:dyDescent="0.25"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  <c r="N994" s="8"/>
      <c r="O994" s="8"/>
      <c r="P994" s="8"/>
      <c r="Q994" s="8"/>
      <c r="R994" s="8"/>
      <c r="S994" s="8"/>
      <c r="T994" s="8"/>
      <c r="U994" s="8"/>
    </row>
    <row r="995" spans="3:21" x14ac:dyDescent="0.25"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  <c r="N995" s="8"/>
      <c r="O995" s="8"/>
      <c r="P995" s="8"/>
      <c r="Q995" s="8"/>
      <c r="R995" s="8"/>
      <c r="S995" s="8"/>
      <c r="T995" s="8"/>
      <c r="U995" s="8"/>
    </row>
    <row r="996" spans="3:21" x14ac:dyDescent="0.25"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"/>
      <c r="U996" s="8"/>
    </row>
    <row r="997" spans="3:21" x14ac:dyDescent="0.25"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"/>
      <c r="U997" s="8"/>
    </row>
    <row r="998" spans="3:21" x14ac:dyDescent="0.25"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"/>
      <c r="U998" s="8"/>
    </row>
    <row r="999" spans="3:21" x14ac:dyDescent="0.25"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"/>
      <c r="U999" s="8"/>
    </row>
    <row r="1000" spans="3:21" x14ac:dyDescent="0.25"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"/>
      <c r="U1000" s="8"/>
    </row>
  </sheetData>
  <mergeCells count="1">
    <mergeCell ref="B1:X1"/>
  </mergeCells>
  <conditionalFormatting sqref="V5:AI200 C5:U20">
    <cfRule type="iconSet" priority="1">
      <iconSet iconSet="3Symbol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landscape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V42"/>
  <sheetViews>
    <sheetView tabSelected="1" workbookViewId="0">
      <selection activeCell="C5" sqref="C5"/>
    </sheetView>
  </sheetViews>
  <sheetFormatPr defaultRowHeight="15" x14ac:dyDescent="0.25"/>
  <cols>
    <col min="2" max="2" width="21.42578125" style="5" customWidth="1"/>
    <col min="3" max="3" width="26.28515625" bestFit="1" customWidth="1"/>
    <col min="4" max="12" width="4.7109375" customWidth="1"/>
    <col min="13" max="13" width="10.7109375" customWidth="1"/>
    <col min="14" max="14" width="15.85546875" bestFit="1" customWidth="1"/>
    <col min="15" max="15" width="16.28515625" style="15" bestFit="1" customWidth="1"/>
    <col min="16" max="23" width="4.7109375" customWidth="1"/>
  </cols>
  <sheetData>
    <row r="1" spans="1:48" ht="46.5" x14ac:dyDescent="0.7">
      <c r="B1" s="37" t="s">
        <v>0</v>
      </c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9"/>
    </row>
    <row r="3" spans="1:48" s="18" customFormat="1" ht="11.25" x14ac:dyDescent="0.2">
      <c r="B3" s="19"/>
      <c r="E3" s="18">
        <v>0</v>
      </c>
      <c r="F3" s="18">
        <f>MOD(E3+1,4)</f>
        <v>1</v>
      </c>
      <c r="G3" s="18">
        <f t="shared" ref="G3:K3" si="0">MOD(F3+1,4)</f>
        <v>2</v>
      </c>
      <c r="H3" s="18">
        <f t="shared" si="0"/>
        <v>3</v>
      </c>
      <c r="I3" s="18">
        <f t="shared" si="0"/>
        <v>0</v>
      </c>
      <c r="J3" s="18">
        <f t="shared" si="0"/>
        <v>1</v>
      </c>
      <c r="K3" s="18">
        <f t="shared" si="0"/>
        <v>2</v>
      </c>
      <c r="L3" s="18">
        <f>MOD(K3+1,4)</f>
        <v>3</v>
      </c>
      <c r="O3" s="20"/>
    </row>
    <row r="4" spans="1:48" s="1" customFormat="1" ht="77.25" customHeight="1" x14ac:dyDescent="0.25">
      <c r="A4" s="22" t="s">
        <v>7</v>
      </c>
      <c r="B4" s="6" t="s">
        <v>2</v>
      </c>
      <c r="C4" s="3" t="s">
        <v>6</v>
      </c>
      <c r="D4" s="2" t="s">
        <v>3</v>
      </c>
      <c r="E4" s="2" t="e">
        <f ca="1">INDIRECT($A$5&amp;"!"&amp;"B"&amp;(22+E$3))&amp;" : Accuracy"</f>
        <v>#REF!</v>
      </c>
      <c r="F4" s="2" t="e">
        <f t="shared" ref="F4:H4" ca="1" si="1">INDIRECT($A$5&amp;"!"&amp;"B"&amp;(22+F$3))&amp;" : Accuracy"</f>
        <v>#REF!</v>
      </c>
      <c r="G4" s="2" t="e">
        <f t="shared" ca="1" si="1"/>
        <v>#REF!</v>
      </c>
      <c r="H4" s="2" t="e">
        <f t="shared" ca="1" si="1"/>
        <v>#REF!</v>
      </c>
      <c r="I4" s="2" t="e">
        <f ca="1">INDIRECT($A$5&amp;"!"&amp;"B"&amp;(22+I$3))&amp;" : Sensitivity"</f>
        <v>#REF!</v>
      </c>
      <c r="J4" s="2" t="e">
        <f t="shared" ref="J4:L4" ca="1" si="2">INDIRECT($A$5&amp;"!"&amp;"B"&amp;(22+J$3))&amp;" : Sensitivity"</f>
        <v>#REF!</v>
      </c>
      <c r="K4" s="2" t="e">
        <f t="shared" ca="1" si="2"/>
        <v>#REF!</v>
      </c>
      <c r="L4" s="2" t="e">
        <f t="shared" ca="1" si="2"/>
        <v>#REF!</v>
      </c>
      <c r="M4" s="2"/>
      <c r="N4" s="2" t="s">
        <v>29</v>
      </c>
      <c r="O4" s="21" t="s">
        <v>5</v>
      </c>
      <c r="P4" s="2"/>
      <c r="Q4" s="2"/>
      <c r="R4" s="10"/>
      <c r="S4" s="10"/>
      <c r="T4" s="10"/>
      <c r="U4" s="10"/>
      <c r="V4" s="10"/>
      <c r="W4" s="10"/>
      <c r="X4" s="10"/>
      <c r="Y4" s="10"/>
      <c r="Z4" s="10"/>
      <c r="AA4" t="s">
        <v>30</v>
      </c>
      <c r="AB4">
        <v>1</v>
      </c>
      <c r="AC4">
        <f ca="1">AB4+FLOOR(($AA$5/20)-0.5,1)</f>
        <v>0</v>
      </c>
      <c r="AD4">
        <f t="shared" ref="AD4:AU4" ca="1" si="3">AC4+FLOOR($AA$5/20,1)</f>
        <v>0</v>
      </c>
      <c r="AE4">
        <f t="shared" ca="1" si="3"/>
        <v>0</v>
      </c>
      <c r="AF4">
        <f t="shared" ca="1" si="3"/>
        <v>0</v>
      </c>
      <c r="AG4">
        <f t="shared" ca="1" si="3"/>
        <v>0</v>
      </c>
      <c r="AH4">
        <f t="shared" ca="1" si="3"/>
        <v>0</v>
      </c>
      <c r="AI4">
        <f t="shared" ca="1" si="3"/>
        <v>0</v>
      </c>
      <c r="AJ4">
        <f t="shared" ca="1" si="3"/>
        <v>0</v>
      </c>
      <c r="AK4">
        <f t="shared" ca="1" si="3"/>
        <v>0</v>
      </c>
      <c r="AL4">
        <f t="shared" ca="1" si="3"/>
        <v>0</v>
      </c>
      <c r="AM4">
        <f t="shared" ca="1" si="3"/>
        <v>0</v>
      </c>
      <c r="AN4">
        <f t="shared" ca="1" si="3"/>
        <v>0</v>
      </c>
      <c r="AO4">
        <f t="shared" ca="1" si="3"/>
        <v>0</v>
      </c>
      <c r="AP4">
        <f t="shared" ca="1" si="3"/>
        <v>0</v>
      </c>
      <c r="AQ4">
        <f t="shared" ca="1" si="3"/>
        <v>0</v>
      </c>
      <c r="AR4">
        <f t="shared" ca="1" si="3"/>
        <v>0</v>
      </c>
      <c r="AS4">
        <f t="shared" ca="1" si="3"/>
        <v>0</v>
      </c>
      <c r="AT4">
        <f t="shared" ca="1" si="3"/>
        <v>0</v>
      </c>
      <c r="AU4">
        <f t="shared" ca="1" si="3"/>
        <v>0</v>
      </c>
      <c r="AV4">
        <f ca="1">AU4+FLOOR($AA$5/20,1)</f>
        <v>0</v>
      </c>
    </row>
    <row r="5" spans="1:48" ht="30" x14ac:dyDescent="0.25">
      <c r="A5" s="12" t="str">
        <f xml:space="preserve"> Summary!A5</f>
        <v>Template.xlsx</v>
      </c>
      <c r="B5" s="14" t="str">
        <f>HYPERLINK(A5,Summary!B5)</f>
        <v>Basic Grouped1</v>
      </c>
      <c r="C5" s="11" t="str">
        <f t="array" aca="1" ref="C5" ca="1">ConcatenateArrayElements(IF( (Summary!C5:U5=1),Summary!$C$4:$U$4," "),"")</f>
        <v xml:space="preserve">                   </v>
      </c>
      <c r="D5" t="e">
        <f ca="1">INDIRECT($A5&amp;"!"&amp;"RocScore")</f>
        <v>#REF!</v>
      </c>
      <c r="E5" t="e">
        <f ca="1">INDIRECT($A$5&amp;"!"&amp;"D"&amp;(22+E$3))</f>
        <v>#REF!</v>
      </c>
      <c r="F5" t="e">
        <f t="shared" ref="F5:L6" ca="1" si="4">INDIRECT($A$5&amp;"!"&amp;"D"&amp;(22+F$3))</f>
        <v>#REF!</v>
      </c>
      <c r="G5" t="e">
        <f t="shared" ca="1" si="4"/>
        <v>#REF!</v>
      </c>
      <c r="H5" t="e">
        <f t="shared" ca="1" si="4"/>
        <v>#REF!</v>
      </c>
      <c r="I5" t="e">
        <f t="shared" ca="1" si="4"/>
        <v>#REF!</v>
      </c>
      <c r="J5" t="e">
        <f t="shared" ca="1" si="4"/>
        <v>#REF!</v>
      </c>
      <c r="K5" t="e">
        <f t="shared" ca="1" si="4"/>
        <v>#REF!</v>
      </c>
      <c r="L5" t="e">
        <f t="shared" ca="1" si="4"/>
        <v>#REF!</v>
      </c>
      <c r="N5" t="e">
        <f ca="1">INDIRECT($A5&amp;"!"&amp;"TimeTaken")</f>
        <v>#REF!</v>
      </c>
      <c r="O5" s="15" t="e">
        <f ca="1">INDIRECT($A5&amp;"!"&amp;"MemUsage")</f>
        <v>#REF!</v>
      </c>
      <c r="P5" s="17"/>
      <c r="AA5">
        <f ca="1">COUNT(INDIRECT($A$5&amp;"!SumResultsTable[Place]"))</f>
        <v>0</v>
      </c>
      <c r="AB5" t="e">
        <f ca="1">INDIRECT("'["&amp;$A$5&amp;"]Summary Results'!"&amp;"D"&amp;(2+AB$4))</f>
        <v>#REF!</v>
      </c>
      <c r="AC5" t="e">
        <f t="shared" ref="AC5:AV6" ca="1" si="5">INDIRECT("'["&amp;$A$5&amp;"]Summary Results'!"&amp;"D"&amp;(2+AC$4))</f>
        <v>#REF!</v>
      </c>
      <c r="AD5" t="e">
        <f t="shared" ca="1" si="5"/>
        <v>#REF!</v>
      </c>
      <c r="AE5" t="e">
        <f t="shared" ca="1" si="5"/>
        <v>#REF!</v>
      </c>
      <c r="AF5" t="e">
        <f t="shared" ca="1" si="5"/>
        <v>#REF!</v>
      </c>
      <c r="AG5" t="e">
        <f t="shared" ca="1" si="5"/>
        <v>#REF!</v>
      </c>
      <c r="AH5" t="e">
        <f t="shared" ca="1" si="5"/>
        <v>#REF!</v>
      </c>
      <c r="AI5" t="e">
        <f t="shared" ca="1" si="5"/>
        <v>#REF!</v>
      </c>
      <c r="AJ5" t="e">
        <f t="shared" ca="1" si="5"/>
        <v>#REF!</v>
      </c>
      <c r="AK5" t="e">
        <f t="shared" ca="1" si="5"/>
        <v>#REF!</v>
      </c>
      <c r="AL5" t="e">
        <f t="shared" ca="1" si="5"/>
        <v>#REF!</v>
      </c>
      <c r="AM5" t="e">
        <f t="shared" ca="1" si="5"/>
        <v>#REF!</v>
      </c>
      <c r="AN5" t="e">
        <f t="shared" ca="1" si="5"/>
        <v>#REF!</v>
      </c>
      <c r="AO5" t="e">
        <f t="shared" ca="1" si="5"/>
        <v>#REF!</v>
      </c>
      <c r="AP5" t="e">
        <f t="shared" ca="1" si="5"/>
        <v>#REF!</v>
      </c>
      <c r="AQ5" t="e">
        <f t="shared" ca="1" si="5"/>
        <v>#REF!</v>
      </c>
      <c r="AR5" t="e">
        <f t="shared" ca="1" si="5"/>
        <v>#REF!</v>
      </c>
      <c r="AS5" t="e">
        <f t="shared" ca="1" si="5"/>
        <v>#REF!</v>
      </c>
      <c r="AT5" t="e">
        <f t="shared" ca="1" si="5"/>
        <v>#REF!</v>
      </c>
      <c r="AU5" t="e">
        <f t="shared" ca="1" si="5"/>
        <v>#REF!</v>
      </c>
      <c r="AV5" t="e">
        <f t="shared" ca="1" si="5"/>
        <v>#REF!</v>
      </c>
    </row>
    <row r="6" spans="1:48" ht="30" x14ac:dyDescent="0.25">
      <c r="A6" s="12" t="str">
        <f xml:space="preserve"> Summary!A6</f>
        <v>D:\Work\Sensors\AudioAnalysis\FELT\FeltRunner\Template.xlsx'</v>
      </c>
      <c r="B6" s="14" t="str">
        <f>HYPERLINK(A6,Summary!B6)</f>
        <v>Basic Grouped2</v>
      </c>
      <c r="C6" s="11" t="str">
        <f t="array" aca="1" ref="C6" ca="1">ConcatenateArrayElements(IF( (Summary!C6:U6=1),Summary!$C$4:$U$4," "),"")</f>
        <v xml:space="preserve">                   </v>
      </c>
      <c r="D6" t="e">
        <f ca="1">INDIRECT($A6&amp;"!"&amp;"RocScore")</f>
        <v>#REF!</v>
      </c>
      <c r="E6" t="e">
        <f ca="1">INDIRECT($A$5&amp;"!"&amp;"D"&amp;(22+E$3))</f>
        <v>#REF!</v>
      </c>
      <c r="F6" t="e">
        <f t="shared" ca="1" si="4"/>
        <v>#REF!</v>
      </c>
      <c r="G6" t="e">
        <f t="shared" ca="1" si="4"/>
        <v>#REF!</v>
      </c>
      <c r="H6" t="e">
        <f t="shared" ca="1" si="4"/>
        <v>#REF!</v>
      </c>
      <c r="I6" t="e">
        <f t="shared" ca="1" si="4"/>
        <v>#REF!</v>
      </c>
      <c r="J6" t="e">
        <f t="shared" ca="1" si="4"/>
        <v>#REF!</v>
      </c>
      <c r="K6" t="e">
        <f t="shared" ca="1" si="4"/>
        <v>#REF!</v>
      </c>
      <c r="L6" t="e">
        <f t="shared" ca="1" si="4"/>
        <v>#REF!</v>
      </c>
      <c r="N6" t="e">
        <f ca="1">INDIRECT($A6&amp;"!"&amp;"TimeTaken")</f>
        <v>#REF!</v>
      </c>
      <c r="O6" s="15" t="e">
        <f ca="1">INDIRECT($A6&amp;"!"&amp;"MemUsage")</f>
        <v>#REF!</v>
      </c>
      <c r="P6" s="17"/>
      <c r="AA6">
        <f ca="1">COUNT(INDIRECT($A$5&amp;"!SumResultsTable[Place]"))</f>
        <v>0</v>
      </c>
      <c r="AB6" t="e">
        <f ca="1">INDIRECT("'["&amp;$A$5&amp;"]Summary Results'!"&amp;"D"&amp;(2+AB$4))</f>
        <v>#REF!</v>
      </c>
      <c r="AC6" t="e">
        <f t="shared" ca="1" si="5"/>
        <v>#REF!</v>
      </c>
      <c r="AD6" t="e">
        <f t="shared" ca="1" si="5"/>
        <v>#REF!</v>
      </c>
      <c r="AE6" t="e">
        <f t="shared" ca="1" si="5"/>
        <v>#REF!</v>
      </c>
      <c r="AF6" t="e">
        <f t="shared" ca="1" si="5"/>
        <v>#REF!</v>
      </c>
      <c r="AG6" t="e">
        <f t="shared" ca="1" si="5"/>
        <v>#REF!</v>
      </c>
      <c r="AH6" t="e">
        <f t="shared" ca="1" si="5"/>
        <v>#REF!</v>
      </c>
      <c r="AI6" t="e">
        <f t="shared" ca="1" si="5"/>
        <v>#REF!</v>
      </c>
      <c r="AJ6" t="e">
        <f t="shared" ca="1" si="5"/>
        <v>#REF!</v>
      </c>
      <c r="AK6" t="e">
        <f t="shared" ca="1" si="5"/>
        <v>#REF!</v>
      </c>
      <c r="AL6" t="e">
        <f t="shared" ca="1" si="5"/>
        <v>#REF!</v>
      </c>
      <c r="AM6" t="e">
        <f t="shared" ca="1" si="5"/>
        <v>#REF!</v>
      </c>
      <c r="AN6" t="e">
        <f t="shared" ca="1" si="5"/>
        <v>#REF!</v>
      </c>
      <c r="AO6" t="e">
        <f t="shared" ca="1" si="5"/>
        <v>#REF!</v>
      </c>
      <c r="AP6" t="e">
        <f t="shared" ca="1" si="5"/>
        <v>#REF!</v>
      </c>
      <c r="AQ6" t="e">
        <f t="shared" ca="1" si="5"/>
        <v>#REF!</v>
      </c>
      <c r="AR6" t="e">
        <f t="shared" ca="1" si="5"/>
        <v>#REF!</v>
      </c>
      <c r="AS6" t="e">
        <f t="shared" ca="1" si="5"/>
        <v>#REF!</v>
      </c>
      <c r="AT6" t="e">
        <f t="shared" ca="1" si="5"/>
        <v>#REF!</v>
      </c>
      <c r="AU6" t="e">
        <f t="shared" ca="1" si="5"/>
        <v>#REF!</v>
      </c>
      <c r="AV6" t="e">
        <f t="shared" ca="1" si="5"/>
        <v>#REF!</v>
      </c>
    </row>
    <row r="7" spans="1:48" x14ac:dyDescent="0.25">
      <c r="B7" s="14"/>
      <c r="C7" s="11"/>
      <c r="D7" s="16"/>
    </row>
    <row r="8" spans="1:48" x14ac:dyDescent="0.25">
      <c r="B8" s="14"/>
      <c r="C8" s="11"/>
      <c r="D8" s="16"/>
    </row>
    <row r="9" spans="1:48" x14ac:dyDescent="0.25">
      <c r="B9" s="14"/>
      <c r="C9" s="11"/>
      <c r="D9" s="16"/>
    </row>
    <row r="10" spans="1:48" x14ac:dyDescent="0.25">
      <c r="B10" s="14"/>
      <c r="C10" s="11"/>
      <c r="D10" s="16"/>
    </row>
    <row r="11" spans="1:48" x14ac:dyDescent="0.25">
      <c r="B11" s="14"/>
      <c r="C11" s="11"/>
      <c r="D11" s="16"/>
    </row>
    <row r="12" spans="1:48" x14ac:dyDescent="0.25">
      <c r="B12" s="14"/>
      <c r="C12" s="11"/>
      <c r="D12" s="16"/>
    </row>
    <row r="13" spans="1:48" x14ac:dyDescent="0.25">
      <c r="B13" s="14"/>
      <c r="C13" s="11"/>
      <c r="D13" s="16"/>
    </row>
    <row r="14" spans="1:48" x14ac:dyDescent="0.25">
      <c r="B14" s="14"/>
      <c r="C14" s="11"/>
      <c r="D14" s="16"/>
    </row>
    <row r="15" spans="1:48" x14ac:dyDescent="0.25">
      <c r="B15" s="14"/>
      <c r="C15" s="11"/>
      <c r="D15" s="16"/>
    </row>
    <row r="16" spans="1:48" x14ac:dyDescent="0.25">
      <c r="B16" s="14"/>
      <c r="C16" s="11"/>
      <c r="D16" s="16"/>
    </row>
    <row r="17" spans="2:3" x14ac:dyDescent="0.25">
      <c r="B17" s="14"/>
      <c r="C17" s="11"/>
    </row>
    <row r="18" spans="2:3" x14ac:dyDescent="0.25">
      <c r="B18" s="14"/>
      <c r="C18" s="11"/>
    </row>
    <row r="19" spans="2:3" x14ac:dyDescent="0.25">
      <c r="B19" s="14"/>
      <c r="C19" s="11"/>
    </row>
    <row r="20" spans="2:3" x14ac:dyDescent="0.25">
      <c r="B20" s="14"/>
      <c r="C20" s="11"/>
    </row>
    <row r="21" spans="2:3" x14ac:dyDescent="0.25">
      <c r="B21" s="14"/>
      <c r="C21" s="11"/>
    </row>
    <row r="22" spans="2:3" x14ac:dyDescent="0.25">
      <c r="B22" s="14"/>
      <c r="C22" s="11"/>
    </row>
    <row r="23" spans="2:3" x14ac:dyDescent="0.25">
      <c r="B23" s="14"/>
      <c r="C23" s="11"/>
    </row>
    <row r="24" spans="2:3" x14ac:dyDescent="0.25">
      <c r="B24" s="13"/>
      <c r="C24" s="11"/>
    </row>
    <row r="25" spans="2:3" x14ac:dyDescent="0.25">
      <c r="B25" s="13"/>
      <c r="C25" s="11"/>
    </row>
    <row r="26" spans="2:3" x14ac:dyDescent="0.25">
      <c r="B26" s="13"/>
      <c r="C26" s="11"/>
    </row>
    <row r="27" spans="2:3" x14ac:dyDescent="0.25">
      <c r="B27" s="13"/>
      <c r="C27" s="11"/>
    </row>
    <row r="28" spans="2:3" x14ac:dyDescent="0.25">
      <c r="B28" s="13"/>
      <c r="C28" s="11"/>
    </row>
    <row r="29" spans="2:3" x14ac:dyDescent="0.25">
      <c r="B29" s="13"/>
      <c r="C29" s="11"/>
    </row>
    <row r="30" spans="2:3" x14ac:dyDescent="0.25">
      <c r="C30" s="11"/>
    </row>
    <row r="31" spans="2:3" x14ac:dyDescent="0.25">
      <c r="C31" s="11"/>
    </row>
    <row r="32" spans="2:3" x14ac:dyDescent="0.25">
      <c r="C32" s="11"/>
    </row>
    <row r="33" spans="3:3" x14ac:dyDescent="0.25">
      <c r="C33" s="11"/>
    </row>
    <row r="34" spans="3:3" x14ac:dyDescent="0.25">
      <c r="C34" s="11"/>
    </row>
    <row r="35" spans="3:3" x14ac:dyDescent="0.25">
      <c r="C35" s="11"/>
    </row>
    <row r="36" spans="3:3" x14ac:dyDescent="0.25">
      <c r="C36" s="11"/>
    </row>
    <row r="37" spans="3:3" x14ac:dyDescent="0.25">
      <c r="C37" s="11"/>
    </row>
    <row r="38" spans="3:3" x14ac:dyDescent="0.25">
      <c r="C38" s="11"/>
    </row>
    <row r="39" spans="3:3" x14ac:dyDescent="0.25">
      <c r="C39" s="11"/>
    </row>
    <row r="40" spans="3:3" x14ac:dyDescent="0.25">
      <c r="C40" s="11"/>
    </row>
    <row r="41" spans="3:3" x14ac:dyDescent="0.25">
      <c r="C41" s="11"/>
    </row>
    <row r="42" spans="3:3" x14ac:dyDescent="0.25">
      <c r="C42" s="11"/>
    </row>
  </sheetData>
  <mergeCells count="1">
    <mergeCell ref="B1:Z1"/>
  </mergeCells>
  <pageMargins left="0.7" right="0.7" top="0.75" bottom="0.75" header="0.3" footer="0.3"/>
  <pageSetup paperSize="9" orientation="landscape" horizont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ns:customPropertyEditors xmlns:tns="http://schemas.microsoft.com/office/2006/customDocumentInformationPanel">
  <tns:showOnOpen>false</tns:showOnOpen>
  <tns:defaultPropertyEditorNamespace>Standard properties</tns:defaultPropertyEditorNamespace>
</tns:customPropertyEditors>
</file>

<file path=customXml/itemProps1.xml><?xml version="1.0" encoding="utf-8"?>
<ds:datastoreItem xmlns:ds="http://schemas.openxmlformats.org/officeDocument/2006/customXml" ds:itemID="{30E4894A-2A19-4499-94E6-E22A983950D6}">
  <ds:schemaRefs>
    <ds:schemaRef ds:uri="http://schemas.microsoft.com/office/2006/customDocumentInformationPan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Summary</vt:lpstr>
      <vt:lpstr>Performance</vt:lpstr>
      <vt:lpstr>AnalysisNames</vt:lpstr>
      <vt:lpstr>DataStartRow</vt:lpstr>
      <vt:lpstr>Features</vt:lpstr>
      <vt:lpstr>Filenames</vt:lpstr>
      <vt:lpstr>SummaryGrid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2012-04-03T05:41:30Z</dcterms:modified>
</cp:coreProperties>
</file>